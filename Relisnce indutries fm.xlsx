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91d2dea250b092/Documents/"/>
    </mc:Choice>
  </mc:AlternateContent>
  <xr:revisionPtr revIDLastSave="3393" documentId="8_{CB20BD24-0784-4F7D-8281-71765ED606C1}" xr6:coauthVersionLast="47" xr6:coauthVersionMax="47" xr10:uidLastSave="{8FBCCDD5-9801-42B5-9A57-AEE80CFEC86C}"/>
  <bookViews>
    <workbookView xWindow="-108" yWindow="-108" windowWidth="23256" windowHeight="13896" firstSheet="1" activeTab="7" xr2:uid="{B0A0636A-5638-4EBC-87BE-A94E0876B0F4}"/>
  </bookViews>
  <sheets>
    <sheet name="Data Sheet " sheetId="1" r:id="rId1"/>
    <sheet name="HistoricalFS" sheetId="2" r:id="rId2"/>
    <sheet name="Ratio Analysis" sheetId="3" r:id="rId3"/>
    <sheet name="Common Size Statement" sheetId="5" r:id="rId4"/>
    <sheet name="Forcasting" sheetId="4" r:id="rId5"/>
    <sheet name="intrinsic Growth" sheetId="6" r:id="rId6"/>
    <sheet name="RawFs" sheetId="7" r:id="rId7"/>
    <sheet name="DCF&gt;&gt;" sheetId="14" r:id="rId8"/>
    <sheet name="Sectorwise Data" sheetId="15" r:id="rId9"/>
    <sheet name="WACC" sheetId="10" r:id="rId10"/>
    <sheet name="Comps" sheetId="8" r:id="rId11"/>
    <sheet name="Beta regressionRL" sheetId="11" r:id="rId12"/>
    <sheet name="AVG Return" sheetId="12" r:id="rId13"/>
  </sheets>
  <externalReferences>
    <externalReference r:id="rId14"/>
  </externalReferences>
  <definedNames>
    <definedName name="_xlnm._FilterDatabase" localSheetId="11" hidden="1">'Beta regressionRL'!$B$234:$E$234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4" l="1"/>
  <c r="C33" i="14"/>
  <c r="C32" i="14"/>
  <c r="C23" i="14"/>
  <c r="C22" i="14"/>
  <c r="F11" i="14"/>
  <c r="E11" i="14"/>
  <c r="E5" i="14"/>
  <c r="E7" i="14" s="1"/>
  <c r="E9" i="14" s="1"/>
  <c r="C17" i="14"/>
  <c r="F10" i="14"/>
  <c r="G10" i="14" s="1"/>
  <c r="E8" i="14"/>
  <c r="F8" i="14" s="1"/>
  <c r="G8" i="14" s="1"/>
  <c r="H8" i="14" s="1"/>
  <c r="I8" i="14" s="1"/>
  <c r="M12" i="15"/>
  <c r="E6" i="14"/>
  <c r="F6" i="14" s="1"/>
  <c r="G6" i="14" s="1"/>
  <c r="H6" i="14" s="1"/>
  <c r="I6" i="14" s="1"/>
  <c r="D5" i="14"/>
  <c r="D7" i="14" s="1"/>
  <c r="D9" i="14" s="1"/>
  <c r="D52" i="2"/>
  <c r="E52" i="2"/>
  <c r="F52" i="2"/>
  <c r="G52" i="2"/>
  <c r="H52" i="2"/>
  <c r="I52" i="2"/>
  <c r="J52" i="2"/>
  <c r="K52" i="2"/>
  <c r="L52" i="2"/>
  <c r="D3" i="14"/>
  <c r="E3" i="14" s="1"/>
  <c r="F3" i="14" s="1"/>
  <c r="G3" i="14" s="1"/>
  <c r="H3" i="14" s="1"/>
  <c r="I3" i="14" s="1"/>
  <c r="H10" i="14" l="1"/>
  <c r="I10" i="14" s="1"/>
  <c r="I11" i="14" s="1"/>
  <c r="G11" i="14"/>
  <c r="F5" i="14"/>
  <c r="E12" i="14"/>
  <c r="H11" i="14" l="1"/>
  <c r="G5" i="14"/>
  <c r="F7" i="14"/>
  <c r="F9" i="14" s="1"/>
  <c r="F12" i="14" s="1"/>
  <c r="H5" i="14" l="1"/>
  <c r="G7" i="14"/>
  <c r="G9" i="14" s="1"/>
  <c r="G12" i="14" s="1"/>
  <c r="I5" i="14" l="1"/>
  <c r="I7" i="14" s="1"/>
  <c r="I9" i="14" s="1"/>
  <c r="H7" i="14"/>
  <c r="H9" i="14" s="1"/>
  <c r="H12" i="14" s="1"/>
  <c r="C21" i="14" l="1"/>
  <c r="C24" i="14" s="1"/>
  <c r="C29" i="14" s="1"/>
  <c r="I12" i="14"/>
  <c r="C28" i="14" s="1"/>
  <c r="C30" i="14" s="1"/>
  <c r="C34" i="14" s="1"/>
  <c r="C36" i="14" s="1"/>
  <c r="C39" i="14" s="1"/>
  <c r="L6" i="15" l="1"/>
  <c r="M6" i="15"/>
  <c r="L7" i="15"/>
  <c r="M7" i="15"/>
  <c r="L8" i="15"/>
  <c r="M8" i="15"/>
  <c r="L9" i="15"/>
  <c r="M9" i="15"/>
  <c r="L10" i="15"/>
  <c r="M10" i="15"/>
  <c r="L11" i="15"/>
  <c r="M11" i="15"/>
  <c r="L12" i="15"/>
  <c r="L13" i="15"/>
  <c r="M13" i="15"/>
  <c r="L14" i="15"/>
  <c r="M14" i="15"/>
  <c r="L15" i="15"/>
  <c r="M15" i="15"/>
  <c r="L16" i="15"/>
  <c r="M16" i="15"/>
  <c r="L17" i="15"/>
  <c r="M17" i="15"/>
  <c r="L18" i="15"/>
  <c r="M18" i="15"/>
  <c r="L19" i="15"/>
  <c r="M19" i="15"/>
  <c r="L20" i="15"/>
  <c r="M20" i="15"/>
  <c r="L21" i="15"/>
  <c r="M21" i="15"/>
  <c r="L22" i="15"/>
  <c r="M22" i="15"/>
  <c r="L23" i="15"/>
  <c r="M23" i="15"/>
  <c r="L24" i="15"/>
  <c r="M24" i="15"/>
  <c r="L25" i="15"/>
  <c r="M25" i="15"/>
  <c r="L26" i="15"/>
  <c r="M26" i="15"/>
  <c r="L27" i="15"/>
  <c r="M27" i="15"/>
  <c r="L28" i="15"/>
  <c r="M28" i="15"/>
  <c r="L29" i="15"/>
  <c r="M29" i="15"/>
  <c r="L30" i="15"/>
  <c r="M30" i="15"/>
  <c r="L31" i="15"/>
  <c r="M31" i="15"/>
  <c r="L32" i="15"/>
  <c r="M32" i="15"/>
  <c r="L33" i="15"/>
  <c r="M33" i="15"/>
  <c r="L34" i="15"/>
  <c r="M34" i="15"/>
  <c r="L35" i="15"/>
  <c r="M35" i="15"/>
  <c r="L36" i="15"/>
  <c r="M36" i="15"/>
  <c r="L37" i="15"/>
  <c r="M37" i="15"/>
  <c r="L38" i="15"/>
  <c r="M38" i="15"/>
  <c r="L39" i="15"/>
  <c r="M39" i="15"/>
  <c r="L40" i="15"/>
  <c r="M40" i="15"/>
  <c r="L41" i="15"/>
  <c r="M41" i="15"/>
  <c r="L42" i="15"/>
  <c r="M42" i="15"/>
  <c r="L43" i="15"/>
  <c r="M43" i="15"/>
  <c r="L44" i="15"/>
  <c r="M44" i="15"/>
  <c r="L45" i="15"/>
  <c r="M45" i="15"/>
  <c r="L46" i="15"/>
  <c r="M46" i="15"/>
  <c r="L47" i="15"/>
  <c r="M47" i="15"/>
  <c r="L48" i="15"/>
  <c r="M48" i="15"/>
  <c r="L49" i="15"/>
  <c r="M49" i="15"/>
  <c r="L50" i="15"/>
  <c r="M50" i="15"/>
  <c r="L51" i="15"/>
  <c r="M51" i="15"/>
  <c r="L52" i="15"/>
  <c r="M52" i="15"/>
  <c r="L53" i="15"/>
  <c r="M53" i="15"/>
  <c r="L54" i="15"/>
  <c r="M54" i="15"/>
  <c r="L55" i="15"/>
  <c r="M55" i="15"/>
  <c r="L56" i="15"/>
  <c r="M56" i="15"/>
  <c r="L57" i="15"/>
  <c r="M57" i="15"/>
  <c r="L58" i="15"/>
  <c r="M58" i="15"/>
  <c r="L59" i="15"/>
  <c r="M59" i="15"/>
  <c r="L60" i="15"/>
  <c r="M60" i="15"/>
  <c r="L61" i="15"/>
  <c r="M61" i="15"/>
  <c r="L62" i="15"/>
  <c r="M62" i="15"/>
  <c r="L63" i="15"/>
  <c r="M63" i="15"/>
  <c r="L64" i="15"/>
  <c r="M64" i="15"/>
  <c r="L65" i="15"/>
  <c r="M65" i="15"/>
  <c r="L66" i="15"/>
  <c r="M66" i="15"/>
  <c r="L67" i="15"/>
  <c r="M67" i="15"/>
  <c r="L68" i="15"/>
  <c r="M68" i="15"/>
  <c r="L69" i="15"/>
  <c r="M69" i="15"/>
  <c r="L70" i="15"/>
  <c r="M70" i="15"/>
  <c r="L71" i="15"/>
  <c r="M71" i="15"/>
  <c r="L72" i="15"/>
  <c r="M72" i="15"/>
  <c r="L73" i="15"/>
  <c r="M73" i="15"/>
  <c r="L74" i="15"/>
  <c r="M74" i="15"/>
  <c r="L75" i="15"/>
  <c r="M75" i="15"/>
  <c r="L76" i="15"/>
  <c r="M76" i="15"/>
  <c r="L77" i="15"/>
  <c r="M77" i="15"/>
  <c r="L78" i="15"/>
  <c r="M78" i="15"/>
  <c r="L79" i="15"/>
  <c r="M79" i="15"/>
  <c r="L80" i="15"/>
  <c r="M80" i="15"/>
  <c r="L81" i="15"/>
  <c r="M81" i="15"/>
  <c r="L82" i="15"/>
  <c r="M82" i="15"/>
  <c r="L83" i="15"/>
  <c r="M83" i="15"/>
  <c r="L84" i="15"/>
  <c r="M84" i="15"/>
  <c r="L85" i="15"/>
  <c r="M85" i="15"/>
  <c r="L86" i="15"/>
  <c r="M86" i="15"/>
  <c r="L87" i="15"/>
  <c r="M87" i="15"/>
  <c r="L88" i="15"/>
  <c r="M88" i="15"/>
  <c r="L89" i="15"/>
  <c r="M89" i="15"/>
  <c r="L90" i="15"/>
  <c r="M90" i="15"/>
  <c r="L91" i="15"/>
  <c r="M91" i="15"/>
  <c r="L92" i="15"/>
  <c r="M92" i="15"/>
  <c r="L93" i="15"/>
  <c r="M93" i="15"/>
  <c r="L94" i="15"/>
  <c r="M94" i="15"/>
  <c r="L95" i="15"/>
  <c r="M95" i="15"/>
  <c r="L96" i="15"/>
  <c r="M96" i="15"/>
  <c r="L97" i="15"/>
  <c r="M97" i="15"/>
  <c r="L98" i="15"/>
  <c r="M98" i="15"/>
  <c r="L99" i="15"/>
  <c r="M99" i="15"/>
  <c r="L100" i="15"/>
  <c r="M100" i="15"/>
  <c r="L101" i="15"/>
  <c r="M101" i="15"/>
  <c r="J27" i="10" l="1"/>
  <c r="J33" i="10"/>
  <c r="E37" i="10"/>
  <c r="E33" i="10"/>
  <c r="J34" i="10"/>
  <c r="J35" i="10"/>
  <c r="G14" i="10"/>
  <c r="G15" i="10"/>
  <c r="G13" i="10"/>
  <c r="G18" i="10"/>
  <c r="H13" i="10"/>
  <c r="H14" i="10"/>
  <c r="H15" i="10"/>
  <c r="E24" i="10"/>
  <c r="J25" i="10"/>
  <c r="I8" i="12"/>
  <c r="I5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H18" i="10" l="1"/>
  <c r="C34" i="10" l="1"/>
  <c r="C33" i="10"/>
  <c r="C35" i="10" s="1"/>
  <c r="D34" i="10" l="1"/>
  <c r="D33" i="10"/>
  <c r="D35" i="10" l="1"/>
  <c r="E35" i="10" s="1"/>
  <c r="D37" i="10"/>
  <c r="K19" i="11" l="1"/>
  <c r="F18" i="10"/>
  <c r="F17" i="10"/>
  <c r="E25" i="10" s="1"/>
  <c r="E26" i="10" s="1"/>
  <c r="J44" i="10" s="1"/>
  <c r="I15" i="10"/>
  <c r="I14" i="10"/>
  <c r="I13" i="10"/>
  <c r="I17" i="10" s="1"/>
  <c r="I18" i="10" l="1"/>
  <c r="K237" i="11"/>
  <c r="K241" i="11" s="1"/>
  <c r="K247" i="11" s="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K236" i="11" s="1" a="1"/>
  <c r="K236" i="11" s="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36" i="11"/>
  <c r="K235" i="11" s="1"/>
  <c r="K180" i="11"/>
  <c r="K184" i="11" s="1"/>
  <c r="K190" i="11" s="1"/>
  <c r="C25" i="2" l="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179" i="11"/>
  <c r="K123" i="11"/>
  <c r="K127" i="11" s="1"/>
  <c r="K133" i="11" s="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22" i="11"/>
  <c r="K9" i="11"/>
  <c r="K13" i="11" s="1"/>
  <c r="K66" i="11"/>
  <c r="K70" i="11" s="1"/>
  <c r="K76" i="11" s="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65" i="11"/>
  <c r="K179" i="11" l="1" a="1"/>
  <c r="K179" i="11" s="1"/>
  <c r="K122" i="11" a="1"/>
  <c r="K122" i="11" s="1"/>
  <c r="K121" i="11"/>
  <c r="K178" i="11"/>
  <c r="K65" i="11" a="1"/>
  <c r="K65" i="11" s="1"/>
  <c r="K64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8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J15" i="10"/>
  <c r="J14" i="10"/>
  <c r="G17" i="10" l="1"/>
  <c r="J13" i="10"/>
  <c r="H17" i="10"/>
  <c r="K7" i="11"/>
  <c r="K8" i="11" a="1"/>
  <c r="K8" i="11" s="1"/>
  <c r="G45" i="6"/>
  <c r="G60" i="6" s="1"/>
  <c r="G8" i="6"/>
  <c r="C19" i="6"/>
  <c r="D19" i="6"/>
  <c r="E19" i="6"/>
  <c r="F19" i="6"/>
  <c r="G19" i="6"/>
  <c r="H19" i="6"/>
  <c r="I19" i="6"/>
  <c r="J19" i="6"/>
  <c r="K19" i="6"/>
  <c r="L19" i="6"/>
  <c r="G47" i="6"/>
  <c r="C50" i="6"/>
  <c r="C52" i="6" s="1"/>
  <c r="C47" i="6"/>
  <c r="C34" i="6"/>
  <c r="F47" i="6"/>
  <c r="C11" i="6"/>
  <c r="L47" i="6"/>
  <c r="D41" i="6"/>
  <c r="D50" i="6" s="1"/>
  <c r="D52" i="6" s="1"/>
  <c r="E41" i="6"/>
  <c r="F41" i="6"/>
  <c r="G41" i="6"/>
  <c r="H41" i="6"/>
  <c r="H50" i="6" s="1"/>
  <c r="H52" i="6" s="1"/>
  <c r="I41" i="6"/>
  <c r="I50" i="6" s="1"/>
  <c r="I52" i="6" s="1"/>
  <c r="J41" i="6"/>
  <c r="J50" i="6" s="1"/>
  <c r="J52" i="6" s="1"/>
  <c r="K41" i="6"/>
  <c r="K50" i="6" s="1"/>
  <c r="K52" i="6" s="1"/>
  <c r="L41" i="6"/>
  <c r="L50" i="6" s="1"/>
  <c r="L52" i="6" s="1"/>
  <c r="C41" i="6"/>
  <c r="H47" i="6"/>
  <c r="I47" i="6"/>
  <c r="J47" i="6"/>
  <c r="K47" i="6"/>
  <c r="D47" i="6"/>
  <c r="E47" i="6"/>
  <c r="L36" i="6"/>
  <c r="K36" i="6"/>
  <c r="J36" i="6"/>
  <c r="I36" i="6"/>
  <c r="H36" i="6"/>
  <c r="G36" i="6"/>
  <c r="F36" i="6"/>
  <c r="E36" i="6"/>
  <c r="D36" i="6"/>
  <c r="C36" i="6"/>
  <c r="C27" i="6"/>
  <c r="D27" i="6"/>
  <c r="E27" i="6"/>
  <c r="F27" i="6"/>
  <c r="G27" i="6"/>
  <c r="H27" i="6"/>
  <c r="I27" i="6"/>
  <c r="J27" i="6"/>
  <c r="K27" i="6"/>
  <c r="L27" i="6"/>
  <c r="C28" i="6"/>
  <c r="D28" i="6"/>
  <c r="E28" i="6"/>
  <c r="F28" i="6"/>
  <c r="G28" i="6"/>
  <c r="H28" i="6"/>
  <c r="I28" i="6"/>
  <c r="J28" i="6"/>
  <c r="K28" i="6"/>
  <c r="L28" i="6"/>
  <c r="C29" i="6"/>
  <c r="D29" i="6"/>
  <c r="E29" i="6"/>
  <c r="F29" i="6"/>
  <c r="G29" i="6"/>
  <c r="H29" i="6"/>
  <c r="I29" i="6"/>
  <c r="J29" i="6"/>
  <c r="K29" i="6"/>
  <c r="L29" i="6"/>
  <c r="C30" i="6"/>
  <c r="D30" i="6"/>
  <c r="E30" i="6"/>
  <c r="F30" i="6"/>
  <c r="G30" i="6"/>
  <c r="H30" i="6"/>
  <c r="I30" i="6"/>
  <c r="J30" i="6"/>
  <c r="K30" i="6"/>
  <c r="L30" i="6"/>
  <c r="C31" i="6"/>
  <c r="D31" i="6"/>
  <c r="E31" i="6"/>
  <c r="F31" i="6"/>
  <c r="G31" i="6"/>
  <c r="H31" i="6"/>
  <c r="I31" i="6"/>
  <c r="J31" i="6"/>
  <c r="K31" i="6"/>
  <c r="L31" i="6"/>
  <c r="C32" i="6"/>
  <c r="D32" i="6"/>
  <c r="E32" i="6"/>
  <c r="F32" i="6"/>
  <c r="G32" i="6"/>
  <c r="H32" i="6"/>
  <c r="I32" i="6"/>
  <c r="J32" i="6"/>
  <c r="K32" i="6"/>
  <c r="L32" i="6"/>
  <c r="C33" i="6"/>
  <c r="D33" i="6"/>
  <c r="E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H26" i="6"/>
  <c r="I26" i="6"/>
  <c r="J26" i="6"/>
  <c r="K26" i="6"/>
  <c r="L26" i="6"/>
  <c r="D26" i="6"/>
  <c r="E26" i="6"/>
  <c r="F26" i="6"/>
  <c r="G26" i="6"/>
  <c r="C26" i="6"/>
  <c r="D18" i="6"/>
  <c r="E18" i="6"/>
  <c r="F18" i="6"/>
  <c r="G18" i="6"/>
  <c r="H18" i="6"/>
  <c r="I18" i="6"/>
  <c r="J18" i="6"/>
  <c r="K18" i="6"/>
  <c r="L18" i="6"/>
  <c r="C18" i="6"/>
  <c r="C14" i="6"/>
  <c r="D14" i="6"/>
  <c r="E14" i="6"/>
  <c r="F14" i="6"/>
  <c r="G14" i="6"/>
  <c r="H14" i="6"/>
  <c r="I14" i="6"/>
  <c r="J14" i="6"/>
  <c r="K14" i="6"/>
  <c r="L14" i="6"/>
  <c r="C13" i="6"/>
  <c r="D13" i="6"/>
  <c r="E13" i="6"/>
  <c r="F13" i="6"/>
  <c r="G13" i="6"/>
  <c r="H13" i="6"/>
  <c r="I13" i="6"/>
  <c r="J13" i="6"/>
  <c r="K13" i="6"/>
  <c r="L13" i="6"/>
  <c r="L12" i="6"/>
  <c r="K12" i="6"/>
  <c r="J12" i="6"/>
  <c r="I12" i="6"/>
  <c r="H12" i="6"/>
  <c r="G12" i="6"/>
  <c r="F12" i="6"/>
  <c r="E12" i="6"/>
  <c r="D12" i="6"/>
  <c r="C12" i="6"/>
  <c r="L11" i="6"/>
  <c r="K11" i="6"/>
  <c r="J11" i="6"/>
  <c r="I11" i="6"/>
  <c r="H11" i="6"/>
  <c r="G11" i="6"/>
  <c r="F11" i="6"/>
  <c r="E11" i="6"/>
  <c r="D11" i="6"/>
  <c r="K8" i="6"/>
  <c r="K45" i="6" s="1"/>
  <c r="K60" i="6" s="1"/>
  <c r="L8" i="6"/>
  <c r="L45" i="6" s="1"/>
  <c r="L60" i="6" s="1"/>
  <c r="D8" i="6"/>
  <c r="E8" i="6"/>
  <c r="F8" i="6"/>
  <c r="H8" i="6"/>
  <c r="H45" i="6" s="1"/>
  <c r="H60" i="6" s="1"/>
  <c r="I8" i="6"/>
  <c r="I45" i="6" s="1"/>
  <c r="I60" i="6" s="1"/>
  <c r="J8" i="6"/>
  <c r="J45" i="6" s="1"/>
  <c r="J60" i="6" s="1"/>
  <c r="C8" i="6"/>
  <c r="D56" i="5"/>
  <c r="E56" i="5"/>
  <c r="F56" i="5"/>
  <c r="G56" i="5"/>
  <c r="H56" i="5"/>
  <c r="I56" i="5"/>
  <c r="J56" i="5"/>
  <c r="K56" i="5"/>
  <c r="L56" i="5"/>
  <c r="D40" i="5"/>
  <c r="E40" i="5"/>
  <c r="F40" i="5"/>
  <c r="G40" i="5"/>
  <c r="H40" i="5"/>
  <c r="I40" i="5"/>
  <c r="J40" i="5"/>
  <c r="K40" i="5"/>
  <c r="L40" i="5"/>
  <c r="C40" i="5"/>
  <c r="D38" i="5"/>
  <c r="E38" i="5"/>
  <c r="F38" i="5"/>
  <c r="G38" i="5"/>
  <c r="H38" i="5"/>
  <c r="I38" i="5"/>
  <c r="J38" i="5"/>
  <c r="K38" i="5"/>
  <c r="L38" i="5"/>
  <c r="C38" i="5"/>
  <c r="D37" i="5"/>
  <c r="E37" i="5"/>
  <c r="F37" i="5"/>
  <c r="G37" i="5"/>
  <c r="H37" i="5"/>
  <c r="I37" i="5"/>
  <c r="J37" i="5"/>
  <c r="K37" i="5"/>
  <c r="L37" i="5"/>
  <c r="C37" i="5"/>
  <c r="D60" i="5"/>
  <c r="E60" i="5"/>
  <c r="F60" i="5"/>
  <c r="G60" i="5"/>
  <c r="H60" i="5"/>
  <c r="I60" i="5"/>
  <c r="J60" i="5"/>
  <c r="K60" i="5"/>
  <c r="L60" i="5"/>
  <c r="D58" i="5"/>
  <c r="E58" i="5"/>
  <c r="F58" i="5"/>
  <c r="G58" i="5"/>
  <c r="H58" i="5"/>
  <c r="I58" i="5"/>
  <c r="J58" i="5"/>
  <c r="K58" i="5"/>
  <c r="L58" i="5"/>
  <c r="C58" i="5"/>
  <c r="D54" i="5"/>
  <c r="E54" i="5"/>
  <c r="F54" i="5"/>
  <c r="G54" i="5"/>
  <c r="H54" i="5"/>
  <c r="I54" i="5"/>
  <c r="J54" i="5"/>
  <c r="K54" i="5"/>
  <c r="L54" i="5"/>
  <c r="D52" i="5"/>
  <c r="E52" i="5"/>
  <c r="F52" i="5"/>
  <c r="G52" i="5"/>
  <c r="H52" i="5"/>
  <c r="I52" i="5"/>
  <c r="J52" i="5"/>
  <c r="K52" i="5"/>
  <c r="L52" i="5"/>
  <c r="C52" i="5"/>
  <c r="C54" i="5"/>
  <c r="D50" i="5"/>
  <c r="E50" i="5"/>
  <c r="F50" i="5"/>
  <c r="G50" i="5"/>
  <c r="H50" i="5"/>
  <c r="I50" i="5"/>
  <c r="J50" i="5"/>
  <c r="K50" i="5"/>
  <c r="L50" i="5"/>
  <c r="C42" i="5"/>
  <c r="D44" i="5"/>
  <c r="E44" i="5"/>
  <c r="F44" i="5"/>
  <c r="G44" i="5"/>
  <c r="H44" i="5"/>
  <c r="I44" i="5"/>
  <c r="J44" i="5"/>
  <c r="K44" i="5"/>
  <c r="L44" i="5"/>
  <c r="C44" i="5"/>
  <c r="D46" i="5"/>
  <c r="E46" i="5"/>
  <c r="F46" i="5"/>
  <c r="G46" i="5"/>
  <c r="H46" i="5"/>
  <c r="I46" i="5"/>
  <c r="J46" i="5"/>
  <c r="K46" i="5"/>
  <c r="L46" i="5"/>
  <c r="C46" i="5"/>
  <c r="L48" i="5"/>
  <c r="D48" i="5"/>
  <c r="E48" i="5"/>
  <c r="F48" i="5"/>
  <c r="G48" i="5"/>
  <c r="H48" i="5"/>
  <c r="I48" i="5"/>
  <c r="J48" i="5"/>
  <c r="K48" i="5"/>
  <c r="C48" i="5"/>
  <c r="D42" i="5"/>
  <c r="E42" i="5"/>
  <c r="F42" i="5"/>
  <c r="G42" i="5"/>
  <c r="H42" i="5"/>
  <c r="I42" i="5"/>
  <c r="J42" i="5"/>
  <c r="K42" i="5"/>
  <c r="L42" i="5"/>
  <c r="J45" i="10" l="1"/>
  <c r="E34" i="10"/>
  <c r="J18" i="10"/>
  <c r="J32" i="10" s="1"/>
  <c r="J17" i="10"/>
  <c r="J15" i="6"/>
  <c r="K15" i="6"/>
  <c r="H21" i="6"/>
  <c r="J21" i="6"/>
  <c r="L15" i="6"/>
  <c r="C21" i="6"/>
  <c r="L35" i="6"/>
  <c r="L37" i="6" s="1"/>
  <c r="C35" i="6"/>
  <c r="C37" i="6" s="1"/>
  <c r="K35" i="6"/>
  <c r="K37" i="6" s="1"/>
  <c r="I35" i="6"/>
  <c r="I37" i="6" s="1"/>
  <c r="G35" i="6"/>
  <c r="G37" i="6" s="1"/>
  <c r="F35" i="6"/>
  <c r="F37" i="6" s="1"/>
  <c r="E35" i="6"/>
  <c r="E37" i="6" s="1"/>
  <c r="D35" i="6"/>
  <c r="D37" i="6" s="1"/>
  <c r="H35" i="6"/>
  <c r="H37" i="6" s="1"/>
  <c r="J35" i="6"/>
  <c r="J37" i="6" s="1"/>
  <c r="I15" i="6"/>
  <c r="H15" i="6"/>
  <c r="I21" i="6"/>
  <c r="L21" i="6"/>
  <c r="L23" i="6"/>
  <c r="K21" i="6"/>
  <c r="D21" i="6"/>
  <c r="G21" i="6"/>
  <c r="D45" i="6"/>
  <c r="D60" i="6" s="1"/>
  <c r="C45" i="6"/>
  <c r="C60" i="6" s="1"/>
  <c r="F15" i="6"/>
  <c r="C15" i="6"/>
  <c r="G15" i="6"/>
  <c r="E21" i="6"/>
  <c r="F21" i="6"/>
  <c r="D15" i="6"/>
  <c r="E15" i="6"/>
  <c r="E23" i="6" s="1"/>
  <c r="F50" i="6"/>
  <c r="F52" i="6" s="1"/>
  <c r="E50" i="6"/>
  <c r="E52" i="6" s="1"/>
  <c r="G50" i="6"/>
  <c r="G52" i="6" s="1"/>
  <c r="B8" i="3"/>
  <c r="C68" i="2"/>
  <c r="D68" i="2"/>
  <c r="E68" i="2"/>
  <c r="F68" i="2"/>
  <c r="G68" i="2"/>
  <c r="H68" i="2"/>
  <c r="I68" i="2"/>
  <c r="J68" i="2"/>
  <c r="K68" i="2"/>
  <c r="L68" i="2"/>
  <c r="B8" i="2"/>
  <c r="J26" i="10" l="1"/>
  <c r="J42" i="10"/>
  <c r="G23" i="6"/>
  <c r="C23" i="6"/>
  <c r="J23" i="6"/>
  <c r="J40" i="6" s="1"/>
  <c r="J43" i="6" s="1"/>
  <c r="J63" i="6" s="1"/>
  <c r="K23" i="6"/>
  <c r="H23" i="6"/>
  <c r="D23" i="6"/>
  <c r="H40" i="6"/>
  <c r="H43" i="6" s="1"/>
  <c r="H63" i="6" s="1"/>
  <c r="I23" i="6"/>
  <c r="L40" i="6"/>
  <c r="L43" i="6" s="1"/>
  <c r="L63" i="6" s="1"/>
  <c r="E40" i="6"/>
  <c r="E43" i="6" s="1"/>
  <c r="E63" i="6" s="1"/>
  <c r="H48" i="6"/>
  <c r="H54" i="6" s="1"/>
  <c r="E45" i="6"/>
  <c r="E60" i="6" s="1"/>
  <c r="F23" i="6"/>
  <c r="G48" i="6" s="1"/>
  <c r="G54" i="6" s="1"/>
  <c r="G55" i="6" s="1"/>
  <c r="G62" i="6" s="1"/>
  <c r="E17" i="4"/>
  <c r="E18" i="4"/>
  <c r="E19" i="4"/>
  <c r="E20" i="4"/>
  <c r="E21" i="4"/>
  <c r="E22" i="4"/>
  <c r="E23" i="4"/>
  <c r="E24" i="4"/>
  <c r="E16" i="4"/>
  <c r="J41" i="10" l="1"/>
  <c r="J47" i="10" s="1"/>
  <c r="K48" i="6"/>
  <c r="K54" i="6" s="1"/>
  <c r="D48" i="6"/>
  <c r="D54" i="6" s="1"/>
  <c r="D55" i="6" s="1"/>
  <c r="D62" i="6" s="1"/>
  <c r="H55" i="6"/>
  <c r="H62" i="6" s="1"/>
  <c r="H65" i="6" s="1"/>
  <c r="K55" i="6"/>
  <c r="K62" i="6" s="1"/>
  <c r="L48" i="6"/>
  <c r="L54" i="6" s="1"/>
  <c r="L55" i="6" s="1"/>
  <c r="L62" i="6" s="1"/>
  <c r="L65" i="6" s="1"/>
  <c r="K40" i="6"/>
  <c r="K43" i="6" s="1"/>
  <c r="K63" i="6" s="1"/>
  <c r="K65" i="6" s="1"/>
  <c r="C40" i="6"/>
  <c r="C43" i="6" s="1"/>
  <c r="D40" i="6"/>
  <c r="D43" i="6" s="1"/>
  <c r="D63" i="6" s="1"/>
  <c r="I48" i="6"/>
  <c r="I54" i="6" s="1"/>
  <c r="I55" i="6" s="1"/>
  <c r="J48" i="6"/>
  <c r="J54" i="6" s="1"/>
  <c r="J55" i="6" s="1"/>
  <c r="J62" i="6" s="1"/>
  <c r="J65" i="6" s="1"/>
  <c r="I40" i="6"/>
  <c r="I43" i="6" s="1"/>
  <c r="I63" i="6" s="1"/>
  <c r="G40" i="6"/>
  <c r="G43" i="6" s="1"/>
  <c r="G63" i="6" s="1"/>
  <c r="G65" i="6" s="1"/>
  <c r="E48" i="6"/>
  <c r="F40" i="6"/>
  <c r="F48" i="6"/>
  <c r="F54" i="6" s="1"/>
  <c r="F45" i="6"/>
  <c r="F60" i="6" s="1"/>
  <c r="B16" i="4"/>
  <c r="B17" i="4" s="1"/>
  <c r="B18" i="4" s="1"/>
  <c r="B19" i="4" s="1"/>
  <c r="B20" i="4" s="1"/>
  <c r="B21" i="4" s="1"/>
  <c r="B22" i="4" s="1"/>
  <c r="B23" i="4" s="1"/>
  <c r="B24" i="4" s="1"/>
  <c r="B25" i="4" s="1"/>
  <c r="D25" i="4" s="1"/>
  <c r="E25" i="4" s="1"/>
  <c r="E54" i="6" l="1"/>
  <c r="E55" i="6" s="1"/>
  <c r="E62" i="6" s="1"/>
  <c r="E65" i="6" s="1"/>
  <c r="D65" i="6"/>
  <c r="I62" i="6"/>
  <c r="I65" i="6" s="1"/>
  <c r="L57" i="6"/>
  <c r="L58" i="6"/>
  <c r="F43" i="6"/>
  <c r="F63" i="6" s="1"/>
  <c r="F55" i="6"/>
  <c r="B26" i="4"/>
  <c r="D26" i="4" s="1"/>
  <c r="E26" i="4" s="1"/>
  <c r="L9" i="3"/>
  <c r="K9" i="3"/>
  <c r="J9" i="3"/>
  <c r="I9" i="3"/>
  <c r="H9" i="3"/>
  <c r="G9" i="3"/>
  <c r="F9" i="3"/>
  <c r="E9" i="3"/>
  <c r="D9" i="3"/>
  <c r="C9" i="3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9" i="2"/>
  <c r="C8" i="5" s="1"/>
  <c r="D9" i="2"/>
  <c r="D8" i="5" s="1"/>
  <c r="E9" i="2"/>
  <c r="E8" i="5" s="1"/>
  <c r="F9" i="2"/>
  <c r="F8" i="5" s="1"/>
  <c r="G9" i="2"/>
  <c r="G8" i="5" s="1"/>
  <c r="H9" i="2"/>
  <c r="H8" i="5" s="1"/>
  <c r="I9" i="2"/>
  <c r="I8" i="5" s="1"/>
  <c r="J9" i="2"/>
  <c r="J8" i="5" s="1"/>
  <c r="K9" i="2"/>
  <c r="K8" i="5" s="1"/>
  <c r="L9" i="2"/>
  <c r="L8" i="5" s="1"/>
  <c r="D12" i="2"/>
  <c r="E12" i="2"/>
  <c r="F12" i="2"/>
  <c r="G12" i="2"/>
  <c r="H12" i="2"/>
  <c r="I12" i="2"/>
  <c r="J12" i="2"/>
  <c r="K12" i="2"/>
  <c r="L12" i="2"/>
  <c r="D94" i="2"/>
  <c r="E94" i="2"/>
  <c r="F94" i="2"/>
  <c r="G94" i="2"/>
  <c r="H94" i="2"/>
  <c r="I94" i="2"/>
  <c r="J94" i="2"/>
  <c r="K94" i="2"/>
  <c r="L94" i="2"/>
  <c r="C94" i="2"/>
  <c r="D92" i="2"/>
  <c r="E92" i="2"/>
  <c r="F92" i="2"/>
  <c r="G92" i="2"/>
  <c r="H92" i="2"/>
  <c r="I92" i="2"/>
  <c r="J92" i="2"/>
  <c r="K92" i="2"/>
  <c r="L92" i="2"/>
  <c r="C92" i="2"/>
  <c r="D90" i="2"/>
  <c r="E90" i="2"/>
  <c r="F90" i="2"/>
  <c r="G90" i="2"/>
  <c r="H90" i="2"/>
  <c r="I90" i="2"/>
  <c r="J90" i="2"/>
  <c r="K90" i="2"/>
  <c r="L90" i="2"/>
  <c r="C90" i="2"/>
  <c r="D82" i="2"/>
  <c r="E82" i="2"/>
  <c r="F82" i="2"/>
  <c r="G82" i="2"/>
  <c r="H82" i="2"/>
  <c r="I82" i="2"/>
  <c r="J82" i="2"/>
  <c r="K82" i="2"/>
  <c r="L82" i="2"/>
  <c r="C82" i="2"/>
  <c r="D81" i="2"/>
  <c r="E81" i="2"/>
  <c r="F81" i="2"/>
  <c r="G81" i="2"/>
  <c r="H81" i="2"/>
  <c r="I81" i="2"/>
  <c r="J81" i="2"/>
  <c r="K81" i="2"/>
  <c r="L81" i="2"/>
  <c r="C81" i="2"/>
  <c r="D80" i="2"/>
  <c r="E80" i="2"/>
  <c r="F80" i="2"/>
  <c r="G80" i="2"/>
  <c r="H80" i="2"/>
  <c r="I80" i="2"/>
  <c r="J80" i="2"/>
  <c r="K80" i="2"/>
  <c r="L80" i="2"/>
  <c r="C80" i="2"/>
  <c r="D77" i="2"/>
  <c r="E77" i="2"/>
  <c r="F77" i="2"/>
  <c r="G77" i="2"/>
  <c r="H77" i="2"/>
  <c r="I77" i="2"/>
  <c r="J77" i="2"/>
  <c r="K77" i="2"/>
  <c r="L77" i="2"/>
  <c r="C77" i="2"/>
  <c r="D76" i="2"/>
  <c r="E76" i="2"/>
  <c r="F76" i="2"/>
  <c r="G76" i="2"/>
  <c r="H76" i="2"/>
  <c r="I76" i="2"/>
  <c r="J76" i="2"/>
  <c r="K76" i="2"/>
  <c r="L76" i="2"/>
  <c r="C76" i="2"/>
  <c r="D75" i="2"/>
  <c r="E75" i="2"/>
  <c r="F75" i="2"/>
  <c r="G75" i="2"/>
  <c r="H75" i="2"/>
  <c r="I75" i="2"/>
  <c r="J75" i="2"/>
  <c r="K75" i="2"/>
  <c r="L75" i="2"/>
  <c r="C75" i="2"/>
  <c r="D74" i="2"/>
  <c r="E74" i="2"/>
  <c r="F74" i="2"/>
  <c r="G74" i="2"/>
  <c r="H74" i="2"/>
  <c r="I74" i="2"/>
  <c r="J74" i="2"/>
  <c r="K74" i="2"/>
  <c r="L74" i="2"/>
  <c r="C74" i="2"/>
  <c r="D71" i="2"/>
  <c r="E71" i="2"/>
  <c r="F71" i="2"/>
  <c r="G71" i="2"/>
  <c r="H71" i="2"/>
  <c r="I71" i="2"/>
  <c r="J71" i="2"/>
  <c r="K71" i="2"/>
  <c r="L71" i="2"/>
  <c r="C71" i="2"/>
  <c r="D70" i="2"/>
  <c r="E70" i="2"/>
  <c r="F70" i="2"/>
  <c r="G70" i="2"/>
  <c r="H70" i="2"/>
  <c r="I70" i="2"/>
  <c r="J70" i="2"/>
  <c r="K70" i="2"/>
  <c r="L70" i="2"/>
  <c r="C70" i="2"/>
  <c r="D69" i="2"/>
  <c r="E69" i="2"/>
  <c r="F69" i="2"/>
  <c r="G69" i="2"/>
  <c r="H69" i="2"/>
  <c r="I69" i="2"/>
  <c r="J69" i="2"/>
  <c r="K69" i="2"/>
  <c r="L69" i="2"/>
  <c r="C69" i="2"/>
  <c r="D63" i="2"/>
  <c r="D15" i="3" s="1"/>
  <c r="E63" i="2"/>
  <c r="E15" i="3" s="1"/>
  <c r="F63" i="2"/>
  <c r="F15" i="3" s="1"/>
  <c r="G63" i="2"/>
  <c r="G15" i="3" s="1"/>
  <c r="H63" i="2"/>
  <c r="H15" i="3" s="1"/>
  <c r="I63" i="2"/>
  <c r="J63" i="2"/>
  <c r="K63" i="2"/>
  <c r="L63" i="2"/>
  <c r="C63" i="2"/>
  <c r="D49" i="2"/>
  <c r="E49" i="2"/>
  <c r="F49" i="2"/>
  <c r="G49" i="2"/>
  <c r="H49" i="2"/>
  <c r="I49" i="2"/>
  <c r="J49" i="2"/>
  <c r="K49" i="2"/>
  <c r="L49" i="2"/>
  <c r="C49" i="2"/>
  <c r="D20" i="2"/>
  <c r="E20" i="2"/>
  <c r="F20" i="2"/>
  <c r="G20" i="2"/>
  <c r="H20" i="2"/>
  <c r="I20" i="2"/>
  <c r="J20" i="2"/>
  <c r="K20" i="2"/>
  <c r="L20" i="2"/>
  <c r="C20" i="2"/>
  <c r="D19" i="2"/>
  <c r="E19" i="2"/>
  <c r="F19" i="2"/>
  <c r="G19" i="2"/>
  <c r="H19" i="2"/>
  <c r="I19" i="2"/>
  <c r="J19" i="2"/>
  <c r="K19" i="2"/>
  <c r="L19" i="2"/>
  <c r="C19" i="2"/>
  <c r="D18" i="2"/>
  <c r="E18" i="2"/>
  <c r="F18" i="2"/>
  <c r="G18" i="2"/>
  <c r="H18" i="2"/>
  <c r="I18" i="2"/>
  <c r="J18" i="2"/>
  <c r="K18" i="2"/>
  <c r="L18" i="2"/>
  <c r="C18" i="2"/>
  <c r="D17" i="2"/>
  <c r="E17" i="2"/>
  <c r="F17" i="2"/>
  <c r="G17" i="2"/>
  <c r="H17" i="2"/>
  <c r="I17" i="2"/>
  <c r="J17" i="2"/>
  <c r="K17" i="2"/>
  <c r="L17" i="2"/>
  <c r="C17" i="2"/>
  <c r="C12" i="2"/>
  <c r="D55" i="2"/>
  <c r="E55" i="2"/>
  <c r="F55" i="2"/>
  <c r="G55" i="2"/>
  <c r="H55" i="2"/>
  <c r="I55" i="2"/>
  <c r="J55" i="2"/>
  <c r="K55" i="2"/>
  <c r="L55" i="2"/>
  <c r="C55" i="2"/>
  <c r="C31" i="2"/>
  <c r="C40" i="2"/>
  <c r="C28" i="2"/>
  <c r="L68" i="6" l="1"/>
  <c r="L67" i="6"/>
  <c r="F62" i="6"/>
  <c r="F65" i="6" s="1"/>
  <c r="J15" i="3"/>
  <c r="L15" i="3"/>
  <c r="K15" i="3"/>
  <c r="I15" i="3"/>
  <c r="F96" i="2"/>
  <c r="J43" i="3"/>
  <c r="J45" i="3"/>
  <c r="H96" i="2"/>
  <c r="H43" i="3"/>
  <c r="H45" i="3"/>
  <c r="L11" i="5"/>
  <c r="L32" i="3"/>
  <c r="L38" i="3" s="1"/>
  <c r="L36" i="3"/>
  <c r="L35" i="3"/>
  <c r="K45" i="3"/>
  <c r="K43" i="3"/>
  <c r="G96" i="2"/>
  <c r="G45" i="3"/>
  <c r="G43" i="3"/>
  <c r="E96" i="2"/>
  <c r="E43" i="3"/>
  <c r="E45" i="3"/>
  <c r="K31" i="5"/>
  <c r="K32" i="3"/>
  <c r="K38" i="3" s="1"/>
  <c r="K36" i="3"/>
  <c r="K35" i="3"/>
  <c r="D96" i="2"/>
  <c r="D45" i="3"/>
  <c r="D43" i="3"/>
  <c r="J31" i="5"/>
  <c r="J35" i="3"/>
  <c r="J36" i="3"/>
  <c r="J32" i="3"/>
  <c r="J38" i="3" s="1"/>
  <c r="C43" i="3"/>
  <c r="C45" i="3"/>
  <c r="G31" i="5"/>
  <c r="G36" i="3"/>
  <c r="G32" i="3"/>
  <c r="G38" i="3" s="1"/>
  <c r="G35" i="3"/>
  <c r="E36" i="3"/>
  <c r="E35" i="3"/>
  <c r="E32" i="3"/>
  <c r="E38" i="3" s="1"/>
  <c r="D35" i="3"/>
  <c r="D32" i="3"/>
  <c r="D38" i="3" s="1"/>
  <c r="D36" i="3"/>
  <c r="I45" i="3"/>
  <c r="I43" i="3"/>
  <c r="F43" i="3"/>
  <c r="F45" i="3"/>
  <c r="C31" i="5"/>
  <c r="C32" i="3"/>
  <c r="C35" i="3"/>
  <c r="C36" i="3"/>
  <c r="I31" i="5"/>
  <c r="I35" i="3"/>
  <c r="I36" i="3"/>
  <c r="I32" i="3"/>
  <c r="I38" i="3" s="1"/>
  <c r="H31" i="5"/>
  <c r="H35" i="3"/>
  <c r="H36" i="3"/>
  <c r="H32" i="3"/>
  <c r="H38" i="3" s="1"/>
  <c r="L45" i="3"/>
  <c r="L43" i="3"/>
  <c r="F31" i="5"/>
  <c r="F35" i="3"/>
  <c r="F36" i="3"/>
  <c r="F32" i="3"/>
  <c r="F38" i="3" s="1"/>
  <c r="B27" i="4"/>
  <c r="D27" i="4" s="1"/>
  <c r="E27" i="4" s="1"/>
  <c r="C96" i="2"/>
  <c r="L96" i="2"/>
  <c r="K96" i="2"/>
  <c r="I96" i="2"/>
  <c r="J96" i="2"/>
  <c r="C78" i="2"/>
  <c r="C72" i="2"/>
  <c r="L22" i="2"/>
  <c r="K72" i="2"/>
  <c r="G83" i="2"/>
  <c r="I22" i="2"/>
  <c r="H22" i="2"/>
  <c r="D83" i="2"/>
  <c r="K22" i="2"/>
  <c r="L72" i="2"/>
  <c r="J22" i="2"/>
  <c r="F83" i="2"/>
  <c r="E83" i="2"/>
  <c r="G22" i="2"/>
  <c r="K78" i="2"/>
  <c r="J78" i="2"/>
  <c r="D72" i="2"/>
  <c r="I78" i="2"/>
  <c r="C83" i="2"/>
  <c r="H78" i="2"/>
  <c r="L83" i="2"/>
  <c r="G78" i="2"/>
  <c r="K83" i="2"/>
  <c r="F78" i="2"/>
  <c r="J83" i="2"/>
  <c r="F22" i="2"/>
  <c r="J72" i="2"/>
  <c r="E78" i="2"/>
  <c r="I83" i="2"/>
  <c r="E22" i="2"/>
  <c r="I72" i="2"/>
  <c r="D78" i="2"/>
  <c r="D85" i="2" s="1"/>
  <c r="D44" i="3" s="1"/>
  <c r="H83" i="2"/>
  <c r="D22" i="2"/>
  <c r="H72" i="2"/>
  <c r="G72" i="2"/>
  <c r="D13" i="2"/>
  <c r="D11" i="3" s="1"/>
  <c r="F72" i="2"/>
  <c r="C22" i="2"/>
  <c r="E72" i="2"/>
  <c r="L78" i="2"/>
  <c r="C32" i="2"/>
  <c r="N15" i="3" l="1"/>
  <c r="F85" i="2"/>
  <c r="F44" i="3" s="1"/>
  <c r="O15" i="3"/>
  <c r="C25" i="5"/>
  <c r="L31" i="5"/>
  <c r="I85" i="2"/>
  <c r="I44" i="3" s="1"/>
  <c r="C19" i="5"/>
  <c r="F33" i="3"/>
  <c r="F39" i="3" s="1"/>
  <c r="F34" i="3"/>
  <c r="F40" i="3" s="1"/>
  <c r="N36" i="3"/>
  <c r="O36" i="3"/>
  <c r="O35" i="3"/>
  <c r="N35" i="3"/>
  <c r="J13" i="5"/>
  <c r="J33" i="3"/>
  <c r="J39" i="3" s="1"/>
  <c r="J34" i="3"/>
  <c r="J40" i="3" s="1"/>
  <c r="D11" i="5"/>
  <c r="D31" i="5"/>
  <c r="H11" i="5"/>
  <c r="I13" i="5"/>
  <c r="I33" i="3"/>
  <c r="I39" i="3" s="1"/>
  <c r="I34" i="3"/>
  <c r="I40" i="3" s="1"/>
  <c r="E11" i="5"/>
  <c r="J11" i="5"/>
  <c r="G13" i="5"/>
  <c r="G33" i="3"/>
  <c r="G39" i="3" s="1"/>
  <c r="G34" i="3"/>
  <c r="G40" i="3" s="1"/>
  <c r="D13" i="5"/>
  <c r="D33" i="3"/>
  <c r="D39" i="3" s="1"/>
  <c r="D34" i="3"/>
  <c r="D40" i="3" s="1"/>
  <c r="C17" i="5"/>
  <c r="C11" i="5"/>
  <c r="K13" i="5"/>
  <c r="K34" i="3"/>
  <c r="K40" i="3" s="1"/>
  <c r="K33" i="3"/>
  <c r="K39" i="3" s="1"/>
  <c r="C85" i="2"/>
  <c r="C44" i="3" s="1"/>
  <c r="I11" i="5"/>
  <c r="G11" i="5"/>
  <c r="N45" i="3"/>
  <c r="O45" i="3"/>
  <c r="N32" i="3"/>
  <c r="O32" i="3"/>
  <c r="C38" i="3"/>
  <c r="N43" i="3"/>
  <c r="O43" i="3"/>
  <c r="H13" i="5"/>
  <c r="H33" i="3"/>
  <c r="H39" i="3" s="1"/>
  <c r="H34" i="3"/>
  <c r="H40" i="3" s="1"/>
  <c r="K11" i="5"/>
  <c r="E13" i="5"/>
  <c r="E34" i="3"/>
  <c r="E40" i="3" s="1"/>
  <c r="E33" i="3"/>
  <c r="E39" i="3" s="1"/>
  <c r="C23" i="2"/>
  <c r="C13" i="5"/>
  <c r="C33" i="3"/>
  <c r="C34" i="3"/>
  <c r="L34" i="3"/>
  <c r="L40" i="3" s="1"/>
  <c r="L33" i="3"/>
  <c r="L39" i="3" s="1"/>
  <c r="F11" i="5"/>
  <c r="E31" i="5"/>
  <c r="B28" i="4"/>
  <c r="D28" i="4" s="1"/>
  <c r="E28" i="4" s="1"/>
  <c r="K85" i="2"/>
  <c r="G85" i="2"/>
  <c r="G44" i="3" s="1"/>
  <c r="L85" i="2"/>
  <c r="L44" i="3" s="1"/>
  <c r="D87" i="2"/>
  <c r="J85" i="2"/>
  <c r="E85" i="2"/>
  <c r="H85" i="2"/>
  <c r="D31" i="2"/>
  <c r="D19" i="5" s="1"/>
  <c r="E31" i="2"/>
  <c r="E19" i="5" s="1"/>
  <c r="F31" i="2"/>
  <c r="F19" i="5" s="1"/>
  <c r="G31" i="2"/>
  <c r="G19" i="5" s="1"/>
  <c r="H31" i="2"/>
  <c r="H19" i="5" s="1"/>
  <c r="I31" i="2"/>
  <c r="I19" i="5" s="1"/>
  <c r="J31" i="2"/>
  <c r="J19" i="5" s="1"/>
  <c r="K31" i="2"/>
  <c r="K19" i="5" s="1"/>
  <c r="L31" i="2"/>
  <c r="L19" i="5" s="1"/>
  <c r="D40" i="2"/>
  <c r="D25" i="5" s="1"/>
  <c r="E40" i="2"/>
  <c r="E25" i="5" s="1"/>
  <c r="F40" i="2"/>
  <c r="F25" i="5" s="1"/>
  <c r="G40" i="2"/>
  <c r="G25" i="5" s="1"/>
  <c r="H40" i="2"/>
  <c r="H25" i="5" s="1"/>
  <c r="I40" i="2"/>
  <c r="I25" i="5" s="1"/>
  <c r="J40" i="2"/>
  <c r="J25" i="5" s="1"/>
  <c r="K40" i="2"/>
  <c r="K25" i="5" s="1"/>
  <c r="L40" i="2"/>
  <c r="L25" i="5" s="1"/>
  <c r="D43" i="2"/>
  <c r="D27" i="5" s="1"/>
  <c r="E43" i="2"/>
  <c r="E27" i="5" s="1"/>
  <c r="F43" i="2"/>
  <c r="F27" i="5" s="1"/>
  <c r="G43" i="2"/>
  <c r="G27" i="5" s="1"/>
  <c r="H43" i="2"/>
  <c r="H27" i="5" s="1"/>
  <c r="I43" i="2"/>
  <c r="I27" i="5" s="1"/>
  <c r="J43" i="2"/>
  <c r="J27" i="5" s="1"/>
  <c r="K43" i="2"/>
  <c r="K27" i="5" s="1"/>
  <c r="L43" i="2"/>
  <c r="L27" i="5" s="1"/>
  <c r="D60" i="2"/>
  <c r="E60" i="2"/>
  <c r="F60" i="2"/>
  <c r="G60" i="2"/>
  <c r="H60" i="2"/>
  <c r="I60" i="2"/>
  <c r="J60" i="2"/>
  <c r="K60" i="2"/>
  <c r="L60" i="2"/>
  <c r="C43" i="2"/>
  <c r="C27" i="5" s="1"/>
  <c r="C60" i="2"/>
  <c r="D34" i="2"/>
  <c r="D21" i="5" s="1"/>
  <c r="E34" i="2"/>
  <c r="E21" i="5" s="1"/>
  <c r="F34" i="2"/>
  <c r="F21" i="5" s="1"/>
  <c r="G34" i="2"/>
  <c r="G21" i="5" s="1"/>
  <c r="H34" i="2"/>
  <c r="H21" i="5" s="1"/>
  <c r="I34" i="2"/>
  <c r="I21" i="5" s="1"/>
  <c r="J34" i="2"/>
  <c r="J21" i="5" s="1"/>
  <c r="K34" i="2"/>
  <c r="K21" i="5" s="1"/>
  <c r="L34" i="2"/>
  <c r="L21" i="5" s="1"/>
  <c r="C34" i="2"/>
  <c r="C21" i="5" s="1"/>
  <c r="D28" i="2"/>
  <c r="D17" i="5" s="1"/>
  <c r="E28" i="2"/>
  <c r="E17" i="5" s="1"/>
  <c r="F28" i="2"/>
  <c r="F17" i="5" s="1"/>
  <c r="G28" i="2"/>
  <c r="G17" i="5" s="1"/>
  <c r="H28" i="2"/>
  <c r="H17" i="5" s="1"/>
  <c r="I28" i="2"/>
  <c r="I17" i="5" s="1"/>
  <c r="J28" i="2"/>
  <c r="J17" i="5" s="1"/>
  <c r="K28" i="2"/>
  <c r="K17" i="5" s="1"/>
  <c r="L28" i="2"/>
  <c r="L17" i="5" s="1"/>
  <c r="I87" i="2" l="1"/>
  <c r="F87" i="2"/>
  <c r="L41" i="3"/>
  <c r="K41" i="3"/>
  <c r="G41" i="3"/>
  <c r="E41" i="3"/>
  <c r="N33" i="3"/>
  <c r="C39" i="3"/>
  <c r="O33" i="3"/>
  <c r="N38" i="3"/>
  <c r="O38" i="3"/>
  <c r="K87" i="2"/>
  <c r="K44" i="3"/>
  <c r="J41" i="3"/>
  <c r="G87" i="2"/>
  <c r="H87" i="2"/>
  <c r="H44" i="3"/>
  <c r="I41" i="3"/>
  <c r="C87" i="2"/>
  <c r="L87" i="2"/>
  <c r="D41" i="3"/>
  <c r="E87" i="2"/>
  <c r="E44" i="3"/>
  <c r="L13" i="5"/>
  <c r="H41" i="3"/>
  <c r="F41" i="3"/>
  <c r="J87" i="2"/>
  <c r="J44" i="3"/>
  <c r="O34" i="3"/>
  <c r="C40" i="3"/>
  <c r="N34" i="3"/>
  <c r="F13" i="5"/>
  <c r="C35" i="2"/>
  <c r="D15" i="2"/>
  <c r="E15" i="2"/>
  <c r="F15" i="2"/>
  <c r="G15" i="2"/>
  <c r="H15" i="2"/>
  <c r="I15" i="2"/>
  <c r="J15" i="2"/>
  <c r="K15" i="2"/>
  <c r="L15" i="2"/>
  <c r="C15" i="2"/>
  <c r="B20" i="2"/>
  <c r="B28" i="2"/>
  <c r="B34" i="2"/>
  <c r="B31" i="2"/>
  <c r="B40" i="2"/>
  <c r="B43" i="2"/>
  <c r="B49" i="2"/>
  <c r="B15" i="2"/>
  <c r="B18" i="2"/>
  <c r="B19" i="2"/>
  <c r="B17" i="2"/>
  <c r="G35" i="2"/>
  <c r="J35" i="2"/>
  <c r="K35" i="2"/>
  <c r="L35" i="2"/>
  <c r="N44" i="3" l="1"/>
  <c r="H25" i="2"/>
  <c r="H37" i="2" s="1"/>
  <c r="G25" i="2"/>
  <c r="G37" i="2" s="1"/>
  <c r="F25" i="2"/>
  <c r="F37" i="2" s="1"/>
  <c r="E25" i="2"/>
  <c r="E37" i="2" s="1"/>
  <c r="D25" i="2"/>
  <c r="D37" i="2" s="1"/>
  <c r="C37" i="2"/>
  <c r="L25" i="2"/>
  <c r="L37" i="2" s="1"/>
  <c r="O39" i="3"/>
  <c r="C41" i="3"/>
  <c r="N39" i="3"/>
  <c r="K25" i="2"/>
  <c r="K37" i="2" s="1"/>
  <c r="N40" i="3"/>
  <c r="O40" i="3"/>
  <c r="J25" i="2"/>
  <c r="J37" i="2" s="1"/>
  <c r="O44" i="3"/>
  <c r="I25" i="2"/>
  <c r="I37" i="2" s="1"/>
  <c r="I35" i="2"/>
  <c r="H35" i="2"/>
  <c r="F35" i="2"/>
  <c r="E35" i="2"/>
  <c r="D32" i="2"/>
  <c r="D35" i="2"/>
  <c r="L44" i="2"/>
  <c r="L32" i="2"/>
  <c r="F44" i="2"/>
  <c r="F32" i="2"/>
  <c r="I44" i="2"/>
  <c r="I32" i="2"/>
  <c r="K44" i="2"/>
  <c r="K32" i="2"/>
  <c r="J44" i="2"/>
  <c r="J32" i="2"/>
  <c r="H44" i="2"/>
  <c r="H32" i="2"/>
  <c r="G44" i="2"/>
  <c r="G32" i="2"/>
  <c r="E44" i="2"/>
  <c r="E32" i="2"/>
  <c r="D44" i="2"/>
  <c r="L29" i="2"/>
  <c r="L22" i="3" s="1"/>
  <c r="L41" i="2"/>
  <c r="L23" i="3" s="1"/>
  <c r="K29" i="2"/>
  <c r="K22" i="3" s="1"/>
  <c r="K41" i="2"/>
  <c r="K23" i="3" s="1"/>
  <c r="J29" i="2"/>
  <c r="J22" i="3" s="1"/>
  <c r="J41" i="2"/>
  <c r="J23" i="3" s="1"/>
  <c r="I29" i="2"/>
  <c r="I22" i="3" s="1"/>
  <c r="I41" i="2"/>
  <c r="I23" i="3" s="1"/>
  <c r="H29" i="2"/>
  <c r="H22" i="3" s="1"/>
  <c r="H41" i="2"/>
  <c r="H23" i="3" s="1"/>
  <c r="G29" i="2"/>
  <c r="G22" i="3" s="1"/>
  <c r="G41" i="2"/>
  <c r="G23" i="3" s="1"/>
  <c r="F29" i="2"/>
  <c r="F22" i="3" s="1"/>
  <c r="F41" i="2"/>
  <c r="F23" i="3" s="1"/>
  <c r="E29" i="2"/>
  <c r="E22" i="3" s="1"/>
  <c r="E41" i="2"/>
  <c r="E23" i="3" s="1"/>
  <c r="D29" i="2"/>
  <c r="D22" i="3" s="1"/>
  <c r="D41" i="2"/>
  <c r="D23" i="3" s="1"/>
  <c r="J13" i="2"/>
  <c r="J11" i="3" s="1"/>
  <c r="E13" i="2"/>
  <c r="E11" i="3" s="1"/>
  <c r="L13" i="2"/>
  <c r="L11" i="3" s="1"/>
  <c r="K13" i="2"/>
  <c r="K11" i="3" s="1"/>
  <c r="G13" i="2"/>
  <c r="G11" i="3" s="1"/>
  <c r="F13" i="2"/>
  <c r="F11" i="3" s="1"/>
  <c r="I13" i="2"/>
  <c r="I11" i="3" s="1"/>
  <c r="H13" i="2"/>
  <c r="H11" i="3" s="1"/>
  <c r="C44" i="2"/>
  <c r="B7" i="1"/>
  <c r="E2" i="1"/>
  <c r="C46" i="2" l="1"/>
  <c r="C56" i="5" s="1"/>
  <c r="C50" i="5"/>
  <c r="J15" i="5"/>
  <c r="C15" i="5"/>
  <c r="D46" i="2"/>
  <c r="D28" i="3" s="1"/>
  <c r="D30" i="3"/>
  <c r="D26" i="3"/>
  <c r="D24" i="3"/>
  <c r="E15" i="5"/>
  <c r="C24" i="3"/>
  <c r="K15" i="5"/>
  <c r="E46" i="2"/>
  <c r="E50" i="2" s="1"/>
  <c r="E30" i="3"/>
  <c r="E26" i="3"/>
  <c r="E12" i="3"/>
  <c r="E24" i="3"/>
  <c r="C26" i="3"/>
  <c r="K46" i="2"/>
  <c r="K50" i="2" s="1"/>
  <c r="K30" i="3"/>
  <c r="K24" i="3"/>
  <c r="K12" i="3"/>
  <c r="K26" i="3"/>
  <c r="F15" i="5"/>
  <c r="D12" i="3"/>
  <c r="F46" i="2"/>
  <c r="F50" i="2" s="1"/>
  <c r="F30" i="3"/>
  <c r="F24" i="3"/>
  <c r="F12" i="3"/>
  <c r="F26" i="3"/>
  <c r="C30" i="3"/>
  <c r="O41" i="3"/>
  <c r="N41" i="3"/>
  <c r="G15" i="5"/>
  <c r="G46" i="2"/>
  <c r="G50" i="2" s="1"/>
  <c r="G30" i="3"/>
  <c r="G24" i="3"/>
  <c r="G26" i="3"/>
  <c r="G12" i="3"/>
  <c r="J46" i="2"/>
  <c r="J47" i="2" s="1"/>
  <c r="J19" i="3" s="1"/>
  <c r="J30" i="3"/>
  <c r="J12" i="3"/>
  <c r="J26" i="3"/>
  <c r="J24" i="3"/>
  <c r="D15" i="5"/>
  <c r="N11" i="3"/>
  <c r="O11" i="3"/>
  <c r="I15" i="5"/>
  <c r="L15" i="5"/>
  <c r="H15" i="5"/>
  <c r="I46" i="2"/>
  <c r="I50" i="2" s="1"/>
  <c r="I30" i="3"/>
  <c r="I24" i="3"/>
  <c r="I26" i="3"/>
  <c r="I12" i="3"/>
  <c r="L46" i="2"/>
  <c r="L47" i="2" s="1"/>
  <c r="L19" i="3" s="1"/>
  <c r="L30" i="3"/>
  <c r="L26" i="3"/>
  <c r="L12" i="3"/>
  <c r="L24" i="3"/>
  <c r="H46" i="2"/>
  <c r="H47" i="2" s="1"/>
  <c r="H19" i="3" s="1"/>
  <c r="H30" i="3"/>
  <c r="H24" i="3"/>
  <c r="H12" i="3"/>
  <c r="H26" i="3"/>
  <c r="G47" i="2"/>
  <c r="G19" i="3" s="1"/>
  <c r="H23" i="2"/>
  <c r="F23" i="2"/>
  <c r="I23" i="2"/>
  <c r="K23" i="2"/>
  <c r="L23" i="2"/>
  <c r="G23" i="2"/>
  <c r="E23" i="2"/>
  <c r="J23" i="2"/>
  <c r="D23" i="2"/>
  <c r="C29" i="2"/>
  <c r="C22" i="3" s="1"/>
  <c r="C41" i="2"/>
  <c r="C23" i="3" s="1"/>
  <c r="D26" i="2"/>
  <c r="D17" i="3" s="1"/>
  <c r="F26" i="2"/>
  <c r="F17" i="3" s="1"/>
  <c r="K26" i="2"/>
  <c r="K17" i="3" s="1"/>
  <c r="C52" i="2" l="1"/>
  <c r="C60" i="5" s="1"/>
  <c r="D47" i="2"/>
  <c r="D19" i="3" s="1"/>
  <c r="L50" i="2"/>
  <c r="O12" i="3"/>
  <c r="J50" i="2"/>
  <c r="O24" i="3"/>
  <c r="N26" i="3"/>
  <c r="K47" i="2"/>
  <c r="K19" i="3" s="1"/>
  <c r="D57" i="2"/>
  <c r="D61" i="2" s="1"/>
  <c r="D65" i="2" s="1"/>
  <c r="D27" i="3" s="1"/>
  <c r="D29" i="3" s="1"/>
  <c r="H50" i="2"/>
  <c r="D53" i="2"/>
  <c r="D20" i="3" s="1"/>
  <c r="O30" i="3"/>
  <c r="D50" i="2"/>
  <c r="D13" i="3"/>
  <c r="N23" i="3"/>
  <c r="O23" i="3"/>
  <c r="H23" i="5"/>
  <c r="N22" i="3"/>
  <c r="O22" i="3"/>
  <c r="N12" i="3"/>
  <c r="K13" i="3"/>
  <c r="J13" i="3"/>
  <c r="O26" i="3"/>
  <c r="I23" i="5"/>
  <c r="N30" i="3"/>
  <c r="F13" i="3"/>
  <c r="F47" i="2"/>
  <c r="F19" i="3" s="1"/>
  <c r="L13" i="3"/>
  <c r="C23" i="5"/>
  <c r="D23" i="5"/>
  <c r="K23" i="5"/>
  <c r="E23" i="5"/>
  <c r="G13" i="3"/>
  <c r="G23" i="5"/>
  <c r="I13" i="3"/>
  <c r="H13" i="3"/>
  <c r="L23" i="5"/>
  <c r="I47" i="2"/>
  <c r="I19" i="3" s="1"/>
  <c r="N24" i="3"/>
  <c r="F23" i="5"/>
  <c r="E13" i="3"/>
  <c r="E47" i="2"/>
  <c r="E19" i="3" s="1"/>
  <c r="J23" i="5"/>
  <c r="C28" i="3"/>
  <c r="D14" i="3"/>
  <c r="C53" i="2"/>
  <c r="C20" i="3" s="1"/>
  <c r="C57" i="2"/>
  <c r="C61" i="2" s="1"/>
  <c r="C65" i="2" s="1"/>
  <c r="C27" i="3" s="1"/>
  <c r="C47" i="2"/>
  <c r="C19" i="3" s="1"/>
  <c r="C50" i="2"/>
  <c r="C38" i="2"/>
  <c r="C18" i="3" s="1"/>
  <c r="K38" i="2"/>
  <c r="K18" i="3" s="1"/>
  <c r="F38" i="2"/>
  <c r="F18" i="3" s="1"/>
  <c r="D38" i="2"/>
  <c r="D18" i="3" s="1"/>
  <c r="L26" i="2"/>
  <c r="L17" i="3" s="1"/>
  <c r="C26" i="2"/>
  <c r="C17" i="3" s="1"/>
  <c r="I26" i="2"/>
  <c r="I17" i="3" s="1"/>
  <c r="H26" i="2"/>
  <c r="H17" i="3" s="1"/>
  <c r="G26" i="2"/>
  <c r="G17" i="3" s="1"/>
  <c r="J26" i="2"/>
  <c r="J17" i="3" s="1"/>
  <c r="E26" i="2"/>
  <c r="E17" i="3" s="1"/>
  <c r="O13" i="3" l="1"/>
  <c r="H14" i="3"/>
  <c r="H28" i="3"/>
  <c r="H53" i="2"/>
  <c r="H20" i="3" s="1"/>
  <c r="H57" i="2"/>
  <c r="J33" i="5"/>
  <c r="J29" i="5"/>
  <c r="J14" i="3"/>
  <c r="J28" i="3"/>
  <c r="J53" i="2"/>
  <c r="J20" i="3" s="1"/>
  <c r="J57" i="2"/>
  <c r="I28" i="3"/>
  <c r="I14" i="3"/>
  <c r="I53" i="2"/>
  <c r="I20" i="3" s="1"/>
  <c r="I57" i="2"/>
  <c r="G33" i="5"/>
  <c r="G29" i="5"/>
  <c r="D29" i="5"/>
  <c r="D33" i="5"/>
  <c r="C33" i="5"/>
  <c r="C29" i="5"/>
  <c r="E14" i="3"/>
  <c r="E28" i="3"/>
  <c r="E57" i="2"/>
  <c r="E53" i="2"/>
  <c r="E20" i="3" s="1"/>
  <c r="L14" i="3"/>
  <c r="L28" i="3"/>
  <c r="L53" i="2"/>
  <c r="L20" i="3" s="1"/>
  <c r="L57" i="2"/>
  <c r="F29" i="5"/>
  <c r="F33" i="5"/>
  <c r="F28" i="3"/>
  <c r="F14" i="3"/>
  <c r="F53" i="2"/>
  <c r="F20" i="3" s="1"/>
  <c r="F57" i="2"/>
  <c r="N13" i="3"/>
  <c r="K14" i="3"/>
  <c r="K28" i="3"/>
  <c r="K53" i="2"/>
  <c r="K20" i="3" s="1"/>
  <c r="K57" i="2"/>
  <c r="G28" i="3"/>
  <c r="G14" i="3"/>
  <c r="G57" i="2"/>
  <c r="G53" i="2"/>
  <c r="G20" i="3" s="1"/>
  <c r="E33" i="5"/>
  <c r="E29" i="5"/>
  <c r="H33" i="5"/>
  <c r="H29" i="5"/>
  <c r="L29" i="5"/>
  <c r="L33" i="5"/>
  <c r="K33" i="5"/>
  <c r="K29" i="5"/>
  <c r="I33" i="5"/>
  <c r="I29" i="5"/>
  <c r="N19" i="3"/>
  <c r="O19" i="3"/>
  <c r="C29" i="3"/>
  <c r="O17" i="3"/>
  <c r="N17" i="3"/>
  <c r="D58" i="2"/>
  <c r="I38" i="2"/>
  <c r="I18" i="3" s="1"/>
  <c r="E38" i="2"/>
  <c r="E18" i="3" s="1"/>
  <c r="L38" i="2"/>
  <c r="L18" i="3" s="1"/>
  <c r="J38" i="2"/>
  <c r="J18" i="3" s="1"/>
  <c r="G38" i="2"/>
  <c r="G18" i="3" s="1"/>
  <c r="H38" i="2"/>
  <c r="H18" i="3" s="1"/>
  <c r="N28" i="3" l="1"/>
  <c r="N18" i="3"/>
  <c r="N20" i="3"/>
  <c r="O14" i="3"/>
  <c r="F61" i="2"/>
  <c r="F65" i="2" s="1"/>
  <c r="F27" i="3" s="1"/>
  <c r="F29" i="3" s="1"/>
  <c r="F58" i="2"/>
  <c r="J58" i="2"/>
  <c r="J61" i="2"/>
  <c r="J65" i="2" s="1"/>
  <c r="J27" i="3" s="1"/>
  <c r="J29" i="3" s="1"/>
  <c r="O20" i="3"/>
  <c r="G61" i="2"/>
  <c r="G65" i="2" s="1"/>
  <c r="G27" i="3" s="1"/>
  <c r="G29" i="3" s="1"/>
  <c r="G58" i="2"/>
  <c r="O28" i="3"/>
  <c r="L61" i="2"/>
  <c r="L65" i="2" s="1"/>
  <c r="L27" i="3" s="1"/>
  <c r="L29" i="3" s="1"/>
  <c r="L58" i="2"/>
  <c r="H61" i="2"/>
  <c r="H65" i="2" s="1"/>
  <c r="H27" i="3" s="1"/>
  <c r="H29" i="3" s="1"/>
  <c r="H58" i="2"/>
  <c r="K61" i="2"/>
  <c r="K65" i="2" s="1"/>
  <c r="K27" i="3" s="1"/>
  <c r="K29" i="3" s="1"/>
  <c r="K58" i="2"/>
  <c r="N14" i="3"/>
  <c r="I61" i="2"/>
  <c r="I65" i="2" s="1"/>
  <c r="I27" i="3" s="1"/>
  <c r="I29" i="3" s="1"/>
  <c r="I58" i="2"/>
  <c r="E61" i="2"/>
  <c r="E65" i="2" s="1"/>
  <c r="E27" i="3" s="1"/>
  <c r="E58" i="2"/>
  <c r="O18" i="3"/>
  <c r="E29" i="3" l="1"/>
  <c r="N27" i="3"/>
  <c r="O27" i="3"/>
  <c r="N29" i="3" l="1"/>
  <c r="O2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<sst xmlns="http://schemas.openxmlformats.org/spreadsheetml/2006/main" count="768" uniqueCount="447">
  <si>
    <t>COMPANY NAME</t>
  </si>
  <si>
    <t>RELIANCE INDUSTRIES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</si>
  <si>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</si>
  <si>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</si>
  <si>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</si>
  <si>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</si>
  <si>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</si>
  <si>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</si>
  <si>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</si>
  <si>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</si>
  <si>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</si>
  <si>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</si>
  <si>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</si>
  <si>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</si>
  <si>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</si>
  <si>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</si>
  <si>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</si>
  <si>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</si>
  <si>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</si>
  <si>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</si>
  <si>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</si>
  <si>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</si>
  <si>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</si>
  <si>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</si>
  <si>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</si>
  <si>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</si>
  <si>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</si>
  <si>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</si>
  <si>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</si>
  <si>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</si>
  <si>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</si>
  <si>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</si>
  <si>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</si>
  <si>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</si>
  <si>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</si>
  <si>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</si>
  <si>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</si>
  <si>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</si>
  <si>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</si>
  <si>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</si>
  <si>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</si>
  <si>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</si>
  <si>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</si>
  <si>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</si>
  <si>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</si>
  <si>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</si>
  <si>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</si>
  <si>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</si>
  <si>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</si>
  <si>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</si>
  <si>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</si>
  <si>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</si>
  <si>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</si>
  <si>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</si>
  <si>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</t>
  </si>
  <si>
    <t>Income Statement</t>
  </si>
  <si>
    <t>#</t>
  </si>
  <si>
    <t>COGS</t>
  </si>
  <si>
    <t>COGS % Sales</t>
  </si>
  <si>
    <t>Gross Profit</t>
  </si>
  <si>
    <t>EBITDA</t>
  </si>
  <si>
    <t>Gross Profit Margins</t>
  </si>
  <si>
    <t>EBITDA % Margins</t>
  </si>
  <si>
    <t>Earning Before Tax</t>
  </si>
  <si>
    <t>Effective Tax Rate</t>
  </si>
  <si>
    <t>Net Profit</t>
  </si>
  <si>
    <t>Net Margin</t>
  </si>
  <si>
    <t>No of equity Shares</t>
  </si>
  <si>
    <t>Earnings per Share</t>
  </si>
  <si>
    <t>Dividend Per Share</t>
  </si>
  <si>
    <t>Retained Earnings</t>
  </si>
  <si>
    <t>Dividend Payout Ratio</t>
  </si>
  <si>
    <t>Divident Amount</t>
  </si>
  <si>
    <t>Balance Sheet</t>
  </si>
  <si>
    <t>Total Liabilities</t>
  </si>
  <si>
    <t>Fixed asset Net Block</t>
  </si>
  <si>
    <t>CWIP</t>
  </si>
  <si>
    <t>Other assets</t>
  </si>
  <si>
    <t>Total Non Current Assets</t>
  </si>
  <si>
    <t>Cash and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</si>
  <si>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</si>
  <si>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</si>
  <si>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</si>
  <si>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</si>
  <si>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</si>
  <si>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</si>
  <si>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</si>
  <si>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</si>
  <si>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EBITDA Growth</t>
  </si>
  <si>
    <t>EBIT Growth</t>
  </si>
  <si>
    <t>Net Profit Growth</t>
  </si>
  <si>
    <t>Dividend Growth</t>
  </si>
  <si>
    <t>Gross Margin</t>
  </si>
  <si>
    <t>EBITDA Margin</t>
  </si>
  <si>
    <t>EBT Margin</t>
  </si>
  <si>
    <t>Net Profit Margin</t>
  </si>
  <si>
    <t>Return on Capital Employed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</si>
  <si>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</si>
  <si>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</si>
  <si>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</si>
  <si>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</si>
  <si>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</si>
  <si>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</si>
  <si>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</si>
  <si>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</si>
  <si>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</si>
  <si>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</si>
  <si>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</si>
  <si>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</si>
  <si>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</si>
  <si>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</si>
  <si>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Operating Income % Sales</t>
  </si>
  <si>
    <t>Depreciation % Sales</t>
  </si>
  <si>
    <t>Selling Expenses % Sales</t>
  </si>
  <si>
    <t>Return on Equity</t>
  </si>
  <si>
    <t>Trend Line</t>
  </si>
  <si>
    <t>Mean</t>
  </si>
  <si>
    <t>Median</t>
  </si>
  <si>
    <t>Year 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</si>
  <si>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</si>
  <si>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</si>
  <si>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</si>
  <si>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</si>
  <si>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</si>
  <si>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</si>
  <si>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</si>
  <si>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</si>
  <si>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</si>
  <si>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</si>
  <si>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</si>
  <si>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</si>
  <si>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</si>
  <si>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</si>
  <si>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</si>
  <si>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</si>
  <si>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</si>
  <si>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</si>
  <si>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</si>
  <si>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</si>
  <si>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</si>
  <si>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</si>
  <si>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</si>
  <si>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Sales Growth</t>
  </si>
  <si>
    <t>Forcasting of Revenue</t>
  </si>
  <si>
    <t>Changes In Inventory</t>
  </si>
  <si>
    <t xml:space="preserve"> Historical Financial Statement</t>
  </si>
  <si>
    <t>INR Crores</t>
  </si>
  <si>
    <t>Common Size Statement</t>
  </si>
  <si>
    <t>Sales % Growth</t>
  </si>
  <si>
    <t>S&amp;A Exp % Sales</t>
  </si>
  <si>
    <t>Other income % Sales</t>
  </si>
  <si>
    <t>Expense % Sales</t>
  </si>
  <si>
    <t>Interest % Sales</t>
  </si>
  <si>
    <t xml:space="preserve">EBT Margins </t>
  </si>
  <si>
    <t>EPS Growth</t>
  </si>
  <si>
    <t xml:space="preserve">Change Analysis </t>
  </si>
  <si>
    <t>Calculation Of ROIC</t>
  </si>
  <si>
    <t>Current Asset</t>
  </si>
  <si>
    <t>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</si>
  <si>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</si>
  <si>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</si>
  <si>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</si>
  <si>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</si>
  <si>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</si>
  <si>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</si>
  <si>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</si>
  <si>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</si>
  <si>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</si>
  <si>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</si>
  <si>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EBIT(1-Tax Rate)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</si>
  <si>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</si>
  <si>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</si>
  <si>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</si>
  <si>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</si>
  <si>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</si>
  <si>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</si>
  <si>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</si>
  <si>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</si>
  <si>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</si>
  <si>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</si>
  <si>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</si>
  <si>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</si>
  <si>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</si>
  <si>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</si>
  <si>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</si>
  <si>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Other liability items</t>
  </si>
  <si>
    <t>Fixed Assets -</t>
  </si>
  <si>
    <t>Land</t>
  </si>
  <si>
    <t>Building</t>
  </si>
  <si>
    <t>Plant Machinery</t>
  </si>
  <si>
    <t>Ships Vessels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</si>
  <si>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</si>
  <si>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</si>
  <si>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</si>
  <si>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</si>
  <si>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</si>
  <si>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</si>
  <si>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</si>
  <si>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</si>
  <si>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</si>
  <si>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</si>
  <si>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</si>
  <si>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</si>
  <si>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</si>
  <si>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Particlar</t>
  </si>
  <si>
    <t>Trade Receivables</t>
  </si>
  <si>
    <t>Loan n Advances</t>
  </si>
  <si>
    <t>Other Assets Items</t>
  </si>
  <si>
    <t>Other Liablities</t>
  </si>
  <si>
    <t>Trade Payable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</si>
  <si>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</si>
  <si>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</si>
  <si>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</si>
  <si>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</si>
  <si>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</si>
  <si>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</si>
  <si>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</si>
  <si>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</si>
  <si>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</si>
  <si>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</si>
  <si>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</si>
  <si>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</si>
  <si>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</si>
  <si>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</si>
  <si>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</si>
  <si>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</si>
  <si>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</si>
  <si>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</si>
  <si>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</si>
  <si>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</si>
  <si>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</si>
  <si>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</si>
  <si>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Free Cash Flow</t>
  </si>
  <si>
    <t>CFO/OP</t>
  </si>
  <si>
    <t xml:space="preserve">   </t>
  </si>
  <si>
    <t>Company</t>
  </si>
  <si>
    <t>Debt / Eq</t>
  </si>
  <si>
    <t>Reliance Industries</t>
  </si>
  <si>
    <t>I O C L</t>
  </si>
  <si>
    <t>B P C L</t>
  </si>
  <si>
    <t>H P C L</t>
  </si>
  <si>
    <t>M R P L</t>
  </si>
  <si>
    <t>C P C L</t>
  </si>
  <si>
    <t>S.No.</t>
  </si>
  <si>
    <t>CMP Rs.</t>
  </si>
  <si>
    <t>Debt Rs.Cr.</t>
  </si>
  <si>
    <t>Mar Cap Rs.Cr.</t>
  </si>
  <si>
    <t>Weight Average Cost of Capital</t>
  </si>
  <si>
    <t xml:space="preserve">All figures are in INR unless stated otherwise </t>
  </si>
  <si>
    <t>Peer Comps</t>
  </si>
  <si>
    <t>Name</t>
  </si>
  <si>
    <t>Country</t>
  </si>
  <si>
    <t xml:space="preserve">Total Debt </t>
  </si>
  <si>
    <t>Total Equity</t>
  </si>
  <si>
    <t>Debt/</t>
  </si>
  <si>
    <t>Equity</t>
  </si>
  <si>
    <t>Capital</t>
  </si>
  <si>
    <t xml:space="preserve">Levered </t>
  </si>
  <si>
    <t xml:space="preserve">Unlevered </t>
  </si>
  <si>
    <r>
      <t>Tax Rate</t>
    </r>
    <r>
      <rPr>
        <vertAlign val="superscript"/>
        <sz val="11"/>
        <color theme="1"/>
        <rFont val="Aptos Narrow"/>
        <family val="2"/>
        <scheme val="minor"/>
      </rPr>
      <t xml:space="preserve">1 </t>
    </r>
  </si>
  <si>
    <r>
      <t>Beta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</si>
  <si>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Beta</t>
    </r>
    <r>
      <rPr>
        <vertAlign val="superscript"/>
        <sz val="11"/>
        <color theme="1"/>
        <rFont val="Aptos Narrow"/>
        <family val="2"/>
        <scheme val="minor"/>
      </rPr>
      <t>3</t>
    </r>
  </si>
  <si>
    <t>India</t>
  </si>
  <si>
    <t>Date</t>
  </si>
  <si>
    <t>Closing Price</t>
  </si>
  <si>
    <t>Return</t>
  </si>
  <si>
    <t>Reliance Industries Ltd</t>
  </si>
  <si>
    <t>Nifty 50 Return</t>
  </si>
  <si>
    <t>Beta Calulation</t>
  </si>
  <si>
    <t>Beta 1 (Slope)</t>
  </si>
  <si>
    <t>Beta 2 (Covariance)</t>
  </si>
  <si>
    <t>Beta 2 (Linear Regression)</t>
  </si>
  <si>
    <t>X Variable 1</t>
  </si>
  <si>
    <t>Indian Oil Corporation Ltd (IOC)</t>
  </si>
  <si>
    <t>Beta 3 (Linear Regression)</t>
  </si>
  <si>
    <t>Indain Oil Corporation Ltd</t>
  </si>
  <si>
    <t>Bharat Petroleum Corporation Ltd</t>
  </si>
  <si>
    <t>Bharat petroleum Corporation Ltd</t>
  </si>
  <si>
    <t>Hindustan Petroleum Coporation  Ltd</t>
  </si>
  <si>
    <t>Beta Drifting</t>
  </si>
  <si>
    <t>levered Raw Beta</t>
  </si>
  <si>
    <t>Raw Beta Weight</t>
  </si>
  <si>
    <t>Market Beta</t>
  </si>
  <si>
    <t>Market Beta Weight</t>
  </si>
  <si>
    <t>Adjusted Beta</t>
  </si>
  <si>
    <t>Mangalore Refinery &amp; Petrochemicals Ltd</t>
  </si>
  <si>
    <t>Average</t>
  </si>
  <si>
    <t>Cost of Debt</t>
  </si>
  <si>
    <t>Pre -  Cost of Debt</t>
  </si>
  <si>
    <t>After Tax Cost of Debt</t>
  </si>
  <si>
    <t>Tax Rate</t>
  </si>
  <si>
    <t>Cost of Equity</t>
  </si>
  <si>
    <t>Risk Free Rate</t>
  </si>
  <si>
    <t>Equity Risk Premium</t>
  </si>
  <si>
    <t xml:space="preserve">Levered Beta </t>
  </si>
  <si>
    <t>Capital Structure</t>
  </si>
  <si>
    <t>Total Capitalization</t>
  </si>
  <si>
    <t>Leveraged Beta</t>
  </si>
  <si>
    <t>Comps Median Unlevered Beta</t>
  </si>
  <si>
    <t>Target Debt / Equity</t>
  </si>
  <si>
    <t xml:space="preserve">Tax Rate </t>
  </si>
  <si>
    <t>Target</t>
  </si>
  <si>
    <t>Current</t>
  </si>
  <si>
    <t>Debt/Equity</t>
  </si>
  <si>
    <r>
      <t>Levered Beta</t>
    </r>
    <r>
      <rPr>
        <vertAlign val="superscript"/>
        <sz val="11"/>
        <color theme="1"/>
        <rFont val="Aptos Narrow"/>
        <family val="2"/>
        <scheme val="minor"/>
      </rPr>
      <t xml:space="preserve">4 </t>
    </r>
  </si>
  <si>
    <t>Annual</t>
  </si>
  <si>
    <t xml:space="preserve">Average Return </t>
  </si>
  <si>
    <t>Dividend yield</t>
  </si>
  <si>
    <t>Total Msrket Return</t>
  </si>
  <si>
    <t>Weighted Average Cost of Capital</t>
  </si>
  <si>
    <t xml:space="preserve">Cost of Capital </t>
  </si>
  <si>
    <t>Equity Weight</t>
  </si>
  <si>
    <t xml:space="preserve">Cost of Debt </t>
  </si>
  <si>
    <t>Debt Weight</t>
  </si>
  <si>
    <t>WACC</t>
  </si>
  <si>
    <t>Total Market (without financials)</t>
  </si>
  <si>
    <t>Total Market</t>
  </si>
  <si>
    <t>Utility (Water)</t>
  </si>
  <si>
    <t>NA</t>
  </si>
  <si>
    <t>Utility (General)</t>
  </si>
  <si>
    <t>Trucking</t>
  </si>
  <si>
    <t>Transportation (Railroads)</t>
  </si>
  <si>
    <t>Transportation</t>
  </si>
  <si>
    <t>Tobacco</t>
  </si>
  <si>
    <t>Telecom. Services</t>
  </si>
  <si>
    <t>Telecom. Equipment</t>
  </si>
  <si>
    <t>Telecom (Wireless)</t>
  </si>
  <si>
    <t>Steel</t>
  </si>
  <si>
    <t>Software (System &amp; Application)</t>
  </si>
  <si>
    <t>Software (Internet)</t>
  </si>
  <si>
    <t>Software (Entertainment)</t>
  </si>
  <si>
    <t>Shoe</t>
  </si>
  <si>
    <t>Shipbuilding &amp; Marine</t>
  </si>
  <si>
    <t>Semiconductor Equip</t>
  </si>
  <si>
    <t>Semiconductor</t>
  </si>
  <si>
    <t>Rubber&amp; Tires</t>
  </si>
  <si>
    <t>Retail (Special Lines)</t>
  </si>
  <si>
    <t>Retail (Online)</t>
  </si>
  <si>
    <t>Retail (Grocery and Food)</t>
  </si>
  <si>
    <t>Retail (General)</t>
  </si>
  <si>
    <t>Retail (Distributors)</t>
  </si>
  <si>
    <t>Retail (Building Supply)</t>
  </si>
  <si>
    <t>Retail (Automotive)</t>
  </si>
  <si>
    <t>Restaurant/Dining</t>
  </si>
  <si>
    <t>Reinsurance</t>
  </si>
  <si>
    <t>Recreation</t>
  </si>
  <si>
    <t>Real Estate (Operations &amp; Services)</t>
  </si>
  <si>
    <t>Real Estate (General/Diversified)</t>
  </si>
  <si>
    <t>Real Estate (Development)</t>
  </si>
  <si>
    <t>R.E.I.T.</t>
  </si>
  <si>
    <t>Publishing &amp; Newspapers</t>
  </si>
  <si>
    <t>Precious Metals</t>
  </si>
  <si>
    <t>Power</t>
  </si>
  <si>
    <t>Paper/Forest Products</t>
  </si>
  <si>
    <t>Packaging &amp; Container</t>
  </si>
  <si>
    <t>Oilfield Svcs/Equip.</t>
  </si>
  <si>
    <t>Oil/Gas Distribution</t>
  </si>
  <si>
    <t>Oil/Gas (Production and Exploration)</t>
  </si>
  <si>
    <t>Oil/Gas (Integrated)</t>
  </si>
  <si>
    <t>Office Equipment &amp; Services</t>
  </si>
  <si>
    <t>Metals &amp; Mining</t>
  </si>
  <si>
    <t>Machinery</t>
  </si>
  <si>
    <t>Investments &amp; Asset Management</t>
  </si>
  <si>
    <t>Insurance (Prop/Cas.)</t>
  </si>
  <si>
    <t>Insurance (Life)</t>
  </si>
  <si>
    <t>Insurance (General)</t>
  </si>
  <si>
    <t>Information Services</t>
  </si>
  <si>
    <t>Household Products</t>
  </si>
  <si>
    <t>Hotel/Gaming</t>
  </si>
  <si>
    <t>Hospitals/Healthcare Facilities</t>
  </si>
  <si>
    <t>Homebuilding</t>
  </si>
  <si>
    <t>Heathcare Information and Technology</t>
  </si>
  <si>
    <t>Healthcare Support Services</t>
  </si>
  <si>
    <t>Healthcare Products</t>
  </si>
  <si>
    <t>Green &amp; Renewable Energy</t>
  </si>
  <si>
    <t>Furn/Home Furnishings</t>
  </si>
  <si>
    <t>Food Wholesalers</t>
  </si>
  <si>
    <t>Food Processing</t>
  </si>
  <si>
    <t>Financial Svcs. (Non-bank &amp; Insurance)</t>
  </si>
  <si>
    <t>Farming/Agriculture</t>
  </si>
  <si>
    <t>Environmental &amp; Waste Services</t>
  </si>
  <si>
    <t>Entertainment</t>
  </si>
  <si>
    <t>Engineering/Construction</t>
  </si>
  <si>
    <t>Electronics (General)</t>
  </si>
  <si>
    <t>Electronics (Consumer &amp; Office)</t>
  </si>
  <si>
    <t>Electrical Equipment</t>
  </si>
  <si>
    <t>Education</t>
  </si>
  <si>
    <t>Drugs (Pharmaceutical)</t>
  </si>
  <si>
    <t>Drugs (Biotechnology)</t>
  </si>
  <si>
    <t>Diversified</t>
  </si>
  <si>
    <t>Construction Supplies</t>
  </si>
  <si>
    <t>Computers/Peripherals</t>
  </si>
  <si>
    <t>Computer Services</t>
  </si>
  <si>
    <t>Coal &amp; Related Energy</t>
  </si>
  <si>
    <t>Chemical (Specialty)</t>
  </si>
  <si>
    <t>Chemical (Diversified)</t>
  </si>
  <si>
    <t>Chemical (Basic)</t>
  </si>
  <si>
    <t>Cable TV</t>
  </si>
  <si>
    <t>Business &amp; Consumer Services</t>
  </si>
  <si>
    <t>Building Materials</t>
  </si>
  <si>
    <t>Brokerage &amp; Investment Banking</t>
  </si>
  <si>
    <t>Broadcasting</t>
  </si>
  <si>
    <t>Beverage (Soft)</t>
  </si>
  <si>
    <t>Beverage (Alcoholic)</t>
  </si>
  <si>
    <t>Banks (Regional)</t>
  </si>
  <si>
    <t>Bank (Money Center)</t>
  </si>
  <si>
    <t>Auto Parts</t>
  </si>
  <si>
    <t>Auto &amp; Truck</t>
  </si>
  <si>
    <t>Apparel</t>
  </si>
  <si>
    <t>Air Transport</t>
  </si>
  <si>
    <t>Aerospace/Defense</t>
  </si>
  <si>
    <t>Advertising</t>
  </si>
  <si>
    <t>Expected EBIT Growth</t>
  </si>
  <si>
    <t>Sales/ Invested Capital</t>
  </si>
  <si>
    <t>Net Cap Ex/ EBIT (1-t)</t>
  </si>
  <si>
    <t>Net Cap Ex/Sales</t>
  </si>
  <si>
    <t xml:space="preserve">Net R&amp;D </t>
  </si>
  <si>
    <t>Acquisitions</t>
  </si>
  <si>
    <t>CapEx/Deprecn</t>
  </si>
  <si>
    <t xml:space="preserve">Depreciation &amp; Amort </t>
  </si>
  <si>
    <t>Capital Expenditures</t>
  </si>
  <si>
    <t>Number of Firms</t>
  </si>
  <si>
    <t>Industry Name</t>
  </si>
  <si>
    <t>Figures in $mn</t>
  </si>
  <si>
    <t>India - Sector Data</t>
  </si>
  <si>
    <t>Calculation of PV of FCFF</t>
  </si>
  <si>
    <t>Less: Reinvestment Rate</t>
  </si>
  <si>
    <t>Free Cash Flow to Firm (FCFF)</t>
  </si>
  <si>
    <t>Mid Year Convention</t>
  </si>
  <si>
    <t>Discount Factor</t>
  </si>
  <si>
    <t>PV of FCFF</t>
  </si>
  <si>
    <t>Expected Growth Rate</t>
  </si>
  <si>
    <t>Terminal Growth Rate</t>
  </si>
  <si>
    <t>Calculation of Terminal Value</t>
  </si>
  <si>
    <t>FCFF (n+1)</t>
  </si>
  <si>
    <t>Terminal Value</t>
  </si>
  <si>
    <t>Calculation of Equity Value per Share</t>
  </si>
  <si>
    <t>PV of Terminal value</t>
  </si>
  <si>
    <t>Value of Operating Assets</t>
  </si>
  <si>
    <t>Add:  Cash</t>
  </si>
  <si>
    <t>Less: Debt</t>
  </si>
  <si>
    <t>Value of Equity</t>
  </si>
  <si>
    <t>No of Share</t>
  </si>
  <si>
    <t>Equity Value Per Share</t>
  </si>
  <si>
    <t>Share Price</t>
  </si>
  <si>
    <t>Discount/Premium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</si>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</sst>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#,##0.0;\(#,##0.0\);0"/>
    <numFmt numFmtId="167" formatCode="#,##0.0"/>
    <numFmt numFmtId="168" formatCode="&quot;₹&quot;\ #,##0.00"/>
    <numFmt numFmtId="169" formatCode="&quot;₹&quot;\ #,##0.0;\(&quot;₹&quot;\ #,##0.0\)"/>
    <numFmt numFmtId="170" formatCode="&quot;₹&quot;\ #,##0.0"/>
    <numFmt numFmtId="171" formatCode="#,##0.00\ &quot;x&quot;"/>
    <numFmt numFmtId="172" formatCode="&quot;₹&quot;\ #,##0.0;&quot;₹&quot;\ \(#,##0.0\)"/>
    <numFmt numFmtId="173" formatCode="yyyy\ &quot;A&quot;"/>
    <numFmt numFmtId="174" formatCode="yyyy\ &quot;E&quot;"/>
    <numFmt numFmtId="175" formatCode="#,##0.0;\(#,##0.0\);\-"/>
    <numFmt numFmtId="176" formatCode="#,##0.0;\(#,##0.0\)"/>
    <numFmt numFmtId="177" formatCode="#,##0.0;\(#,##0.0\);\ \-"/>
    <numFmt numFmtId="178" formatCode="&quot;$&quot;#,##0.00"/>
    <numFmt numFmtId="182" formatCode="0.000"/>
    <numFmt numFmtId="184" formatCode="mmm/yy&quot;A&quot;"/>
    <numFmt numFmtId="185" formatCode="mmm/yy&quot;E&quot;"/>
    <numFmt numFmtId="188" formatCode="0.00&quot;x&quot;"/>
  </numFmts>
  <fonts count="2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0" tint="-0.499984740745262"/>
      <name val="Calibri"/>
      <family val="2"/>
    </font>
    <font>
      <b/>
      <sz val="11"/>
      <color theme="1"/>
      <name val="Calibri"/>
      <family val="2"/>
    </font>
    <font>
      <sz val="11"/>
      <color rgb="FF3333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 val="double"/>
      <sz val="11"/>
      <color theme="0"/>
      <name val="Aptos Narrow"/>
      <family val="2"/>
      <scheme val="minor"/>
    </font>
    <font>
      <sz val="11"/>
      <color rgb="FF3333FF"/>
      <name val="calibri"/>
      <family val="2"/>
    </font>
    <font>
      <vertAlign val="superscript"/>
      <sz val="11"/>
      <color theme="1"/>
      <name val="Aptos Narrow"/>
      <family val="2"/>
      <scheme val="minor"/>
    </font>
    <font>
      <b/>
      <sz val="11"/>
      <color theme="1"/>
      <name val="Calibri "/>
    </font>
    <font>
      <sz val="12"/>
      <color theme="1"/>
      <name val="Aptos Narrow"/>
      <family val="2"/>
      <scheme val="minor"/>
    </font>
    <font>
      <b/>
      <sz val="11"/>
      <name val="Calibri "/>
    </font>
    <font>
      <sz val="11"/>
      <color theme="1"/>
      <name val="Calibri "/>
    </font>
    <font>
      <sz val="11"/>
      <name val="Calibri "/>
    </font>
    <font>
      <b/>
      <sz val="11"/>
      <color theme="0"/>
      <name val="Calibri "/>
    </font>
    <font>
      <b/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 style="dashed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thick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dotted">
        <color rgb="FF002060"/>
      </top>
      <bottom style="thin">
        <color rgb="FF00206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hair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7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9" fillId="0" borderId="0"/>
  </cellStyleXfs>
  <cellXfs count="249">
    <xf numFmtId="0" fontId="0" fillId="0" borderId="0" xfId="0"/>
    <xf numFmtId="43" fontId="6" fillId="0" borderId="0" xfId="1" applyFont="1" applyBorder="1"/>
    <xf numFmtId="43" fontId="0" fillId="0" borderId="0" xfId="1" applyFont="1" applyBorder="1"/>
    <xf numFmtId="164" fontId="5" fillId="3" borderId="0" xfId="1" applyNumberFormat="1" applyFont="1" applyFill="1" applyBorder="1"/>
    <xf numFmtId="164" fontId="5" fillId="3" borderId="0" xfId="0" applyNumberFormat="1" applyFont="1" applyFill="1" applyAlignment="1">
      <alignment horizontal="center"/>
    </xf>
    <xf numFmtId="43" fontId="4" fillId="0" borderId="0" xfId="1" applyFont="1" applyBorder="1"/>
    <xf numFmtId="165" fontId="0" fillId="0" borderId="0" xfId="1" applyNumberFormat="1" applyFont="1" applyBorder="1"/>
    <xf numFmtId="0" fontId="10" fillId="5" borderId="0" xfId="0" applyFont="1" applyFill="1"/>
    <xf numFmtId="0" fontId="11" fillId="0" borderId="0" xfId="0" applyFont="1"/>
    <xf numFmtId="10" fontId="11" fillId="0" borderId="0" xfId="4" applyNumberFormat="1" applyFont="1"/>
    <xf numFmtId="10" fontId="11" fillId="0" borderId="0" xfId="4" applyNumberFormat="1" applyFont="1" applyAlignment="1">
      <alignment horizontal="right"/>
    </xf>
    <xf numFmtId="43" fontId="11" fillId="0" borderId="0" xfId="0" applyNumberFormat="1" applyFont="1"/>
    <xf numFmtId="43" fontId="12" fillId="0" borderId="1" xfId="0" applyNumberFormat="1" applyFont="1" applyBorder="1"/>
    <xf numFmtId="10" fontId="11" fillId="0" borderId="0" xfId="4" applyNumberFormat="1" applyFont="1" applyAlignment="1"/>
    <xf numFmtId="0" fontId="12" fillId="5" borderId="0" xfId="0" applyFont="1" applyFill="1"/>
    <xf numFmtId="43" fontId="3" fillId="0" borderId="0" xfId="0" applyNumberFormat="1" applyFont="1"/>
    <xf numFmtId="166" fontId="3" fillId="0" borderId="0" xfId="0" applyNumberFormat="1" applyFont="1"/>
    <xf numFmtId="43" fontId="3" fillId="0" borderId="5" xfId="0" applyNumberFormat="1" applyFont="1" applyBorder="1"/>
    <xf numFmtId="43" fontId="12" fillId="0" borderId="7" xfId="0" applyNumberFormat="1" applyFont="1" applyBorder="1"/>
    <xf numFmtId="0" fontId="9" fillId="4" borderId="0" xfId="0" applyFont="1" applyFill="1"/>
    <xf numFmtId="17" fontId="9" fillId="4" borderId="0" xfId="0" applyNumberFormat="1" applyFont="1" applyFill="1"/>
    <xf numFmtId="0" fontId="12" fillId="5" borderId="6" xfId="0" applyFont="1" applyFill="1" applyBorder="1"/>
    <xf numFmtId="0" fontId="3" fillId="0" borderId="0" xfId="0" applyFont="1"/>
    <xf numFmtId="0" fontId="3" fillId="0" borderId="5" xfId="0" applyFont="1" applyBorder="1"/>
    <xf numFmtId="169" fontId="3" fillId="0" borderId="5" xfId="0" applyNumberFormat="1" applyFont="1" applyBorder="1"/>
    <xf numFmtId="43" fontId="3" fillId="0" borderId="2" xfId="0" applyNumberFormat="1" applyFont="1" applyBorder="1"/>
    <xf numFmtId="166" fontId="3" fillId="0" borderId="2" xfId="0" applyNumberFormat="1" applyFont="1" applyBorder="1"/>
    <xf numFmtId="43" fontId="3" fillId="0" borderId="3" xfId="0" applyNumberFormat="1" applyFont="1" applyBorder="1"/>
    <xf numFmtId="169" fontId="3" fillId="0" borderId="3" xfId="0" applyNumberFormat="1" applyFont="1" applyBorder="1"/>
    <xf numFmtId="169" fontId="3" fillId="0" borderId="0" xfId="0" applyNumberFormat="1" applyFont="1"/>
    <xf numFmtId="43" fontId="3" fillId="0" borderId="4" xfId="0" applyNumberFormat="1" applyFont="1" applyBorder="1"/>
    <xf numFmtId="169" fontId="3" fillId="0" borderId="4" xfId="0" applyNumberFormat="1" applyFont="1" applyBorder="1"/>
    <xf numFmtId="167" fontId="3" fillId="0" borderId="0" xfId="0" applyNumberFormat="1" applyFont="1"/>
    <xf numFmtId="10" fontId="3" fillId="0" borderId="0" xfId="4" applyNumberFormat="1" applyFont="1"/>
    <xf numFmtId="10" fontId="3" fillId="0" borderId="0" xfId="4" applyNumberFormat="1" applyFont="1" applyAlignment="1"/>
    <xf numFmtId="168" fontId="3" fillId="0" borderId="0" xfId="0" applyNumberFormat="1" applyFont="1" applyAlignment="1">
      <alignment horizontal="right"/>
    </xf>
    <xf numFmtId="169" fontId="3" fillId="0" borderId="6" xfId="0" applyNumberFormat="1" applyFont="1" applyBorder="1"/>
    <xf numFmtId="166" fontId="12" fillId="0" borderId="7" xfId="0" applyNumberFormat="1" applyFont="1" applyBorder="1"/>
    <xf numFmtId="0" fontId="3" fillId="5" borderId="6" xfId="0" applyFont="1" applyFill="1" applyBorder="1"/>
    <xf numFmtId="0" fontId="3" fillId="0" borderId="6" xfId="0" applyFont="1" applyBorder="1"/>
    <xf numFmtId="0" fontId="12" fillId="0" borderId="7" xfId="0" applyFont="1" applyBorder="1"/>
    <xf numFmtId="43" fontId="12" fillId="0" borderId="8" xfId="0" applyNumberFormat="1" applyFont="1" applyBorder="1"/>
    <xf numFmtId="169" fontId="12" fillId="0" borderId="8" xfId="0" applyNumberFormat="1" applyFont="1" applyBorder="1"/>
    <xf numFmtId="170" fontId="3" fillId="0" borderId="0" xfId="0" applyNumberFormat="1" applyFont="1"/>
    <xf numFmtId="9" fontId="3" fillId="0" borderId="0" xfId="4" applyFont="1"/>
    <xf numFmtId="0" fontId="9" fillId="4" borderId="0" xfId="0" applyFont="1" applyFill="1" applyAlignment="1">
      <alignment horizontal="center"/>
    </xf>
    <xf numFmtId="10" fontId="0" fillId="0" borderId="0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0" fontId="0" fillId="0" borderId="4" xfId="0" applyBorder="1"/>
    <xf numFmtId="0" fontId="3" fillId="0" borderId="4" xfId="0" applyFont="1" applyBorder="1"/>
    <xf numFmtId="10" fontId="0" fillId="0" borderId="4" xfId="4" applyNumberFormat="1" applyFont="1" applyBorder="1"/>
    <xf numFmtId="10" fontId="0" fillId="0" borderId="3" xfId="0" applyNumberFormat="1" applyBorder="1"/>
    <xf numFmtId="10" fontId="0" fillId="0" borderId="0" xfId="0" applyNumberFormat="1"/>
    <xf numFmtId="10" fontId="0" fillId="0" borderId="4" xfId="0" applyNumberFormat="1" applyBorder="1"/>
    <xf numFmtId="171" fontId="3" fillId="0" borderId="4" xfId="0" applyNumberFormat="1" applyFont="1" applyBorder="1"/>
    <xf numFmtId="171" fontId="3" fillId="0" borderId="3" xfId="0" applyNumberFormat="1" applyFont="1" applyBorder="1"/>
    <xf numFmtId="171" fontId="3" fillId="0" borderId="0" xfId="0" applyNumberFormat="1" applyFont="1"/>
    <xf numFmtId="1" fontId="0" fillId="0" borderId="0" xfId="0" applyNumberFormat="1"/>
    <xf numFmtId="1" fontId="0" fillId="0" borderId="3" xfId="0" applyNumberFormat="1" applyBorder="1"/>
    <xf numFmtId="1" fontId="0" fillId="0" borderId="4" xfId="0" applyNumberFormat="1" applyBorder="1"/>
    <xf numFmtId="171" fontId="0" fillId="0" borderId="0" xfId="0" applyNumberFormat="1"/>
    <xf numFmtId="171" fontId="0" fillId="0" borderId="3" xfId="0" applyNumberFormat="1" applyBorder="1"/>
    <xf numFmtId="171" fontId="0" fillId="0" borderId="4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73" fontId="0" fillId="0" borderId="0" xfId="0" applyNumberFormat="1"/>
    <xf numFmtId="172" fontId="13" fillId="0" borderId="0" xfId="0" applyNumberFormat="1" applyFont="1"/>
    <xf numFmtId="0" fontId="0" fillId="0" borderId="9" xfId="0" applyBorder="1"/>
    <xf numFmtId="0" fontId="14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Continuous"/>
    </xf>
    <xf numFmtId="174" fontId="6" fillId="0" borderId="0" xfId="0" applyNumberFormat="1" applyFont="1"/>
    <xf numFmtId="169" fontId="12" fillId="0" borderId="0" xfId="0" applyNumberFormat="1" applyFont="1"/>
    <xf numFmtId="10" fontId="6" fillId="0" borderId="0" xfId="0" applyNumberFormat="1" applyFont="1"/>
    <xf numFmtId="0" fontId="5" fillId="6" borderId="7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center"/>
    </xf>
    <xf numFmtId="0" fontId="9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1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17" fontId="9" fillId="4" borderId="0" xfId="0" applyNumberFormat="1" applyFont="1" applyFill="1" applyAlignment="1">
      <alignment horizontal="right"/>
    </xf>
    <xf numFmtId="169" fontId="11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0" fontId="0" fillId="0" borderId="13" xfId="4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4" applyNumberFormat="1" applyFont="1" applyAlignment="1">
      <alignment horizontal="right"/>
    </xf>
    <xf numFmtId="0" fontId="0" fillId="0" borderId="14" xfId="0" applyBorder="1"/>
    <xf numFmtId="10" fontId="0" fillId="0" borderId="14" xfId="4" applyNumberFormat="1" applyFont="1" applyBorder="1"/>
    <xf numFmtId="10" fontId="0" fillId="0" borderId="14" xfId="0" applyNumberFormat="1" applyBorder="1"/>
    <xf numFmtId="0" fontId="12" fillId="0" borderId="2" xfId="0" applyFont="1" applyBorder="1" applyAlignment="1">
      <alignment horizontal="left"/>
    </xf>
    <xf numFmtId="169" fontId="12" fillId="0" borderId="2" xfId="0" applyNumberFormat="1" applyFont="1" applyBorder="1" applyAlignment="1">
      <alignment horizontal="right"/>
    </xf>
    <xf numFmtId="0" fontId="12" fillId="0" borderId="11" xfId="0" applyFont="1" applyBorder="1" applyAlignment="1">
      <alignment horizontal="left"/>
    </xf>
    <xf numFmtId="169" fontId="12" fillId="0" borderId="11" xfId="0" applyNumberFormat="1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169" fontId="12" fillId="0" borderId="12" xfId="0" applyNumberFormat="1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10" fontId="6" fillId="0" borderId="11" xfId="4" applyNumberFormat="1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10" fontId="6" fillId="0" borderId="12" xfId="4" applyNumberFormat="1" applyFont="1" applyBorder="1" applyAlignment="1">
      <alignment horizontal="right"/>
    </xf>
    <xf numFmtId="0" fontId="6" fillId="0" borderId="0" xfId="0" applyFont="1"/>
    <xf numFmtId="0" fontId="12" fillId="5" borderId="14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right"/>
    </xf>
    <xf numFmtId="169" fontId="12" fillId="0" borderId="1" xfId="0" applyNumberFormat="1" applyFont="1" applyBorder="1"/>
    <xf numFmtId="169" fontId="12" fillId="0" borderId="7" xfId="0" applyNumberFormat="1" applyFont="1" applyBorder="1"/>
    <xf numFmtId="0" fontId="12" fillId="5" borderId="0" xfId="0" applyFont="1" applyFill="1" applyAlignment="1">
      <alignment horizontal="center"/>
    </xf>
    <xf numFmtId="9" fontId="0" fillId="0" borderId="15" xfId="0" applyNumberFormat="1" applyBorder="1"/>
    <xf numFmtId="9" fontId="0" fillId="0" borderId="0" xfId="4" applyFont="1"/>
    <xf numFmtId="0" fontId="12" fillId="0" borderId="0" xfId="0" applyFont="1"/>
    <xf numFmtId="0" fontId="0" fillId="0" borderId="2" xfId="0" applyBorder="1"/>
    <xf numFmtId="175" fontId="0" fillId="0" borderId="2" xfId="0" applyNumberFormat="1" applyBorder="1"/>
    <xf numFmtId="175" fontId="0" fillId="0" borderId="3" xfId="0" applyNumberFormat="1" applyBorder="1"/>
    <xf numFmtId="0" fontId="12" fillId="0" borderId="16" xfId="0" applyFont="1" applyBorder="1"/>
    <xf numFmtId="176" fontId="12" fillId="0" borderId="16" xfId="0" applyNumberFormat="1" applyFont="1" applyBorder="1"/>
    <xf numFmtId="175" fontId="12" fillId="0" borderId="16" xfId="0" applyNumberFormat="1" applyFont="1" applyBorder="1"/>
    <xf numFmtId="167" fontId="12" fillId="0" borderId="16" xfId="0" applyNumberFormat="1" applyFont="1" applyBorder="1"/>
    <xf numFmtId="0" fontId="0" fillId="0" borderId="17" xfId="0" applyBorder="1"/>
    <xf numFmtId="175" fontId="0" fillId="0" borderId="17" xfId="0" applyNumberFormat="1" applyBorder="1"/>
    <xf numFmtId="175" fontId="12" fillId="0" borderId="0" xfId="0" applyNumberFormat="1" applyFont="1"/>
    <xf numFmtId="0" fontId="12" fillId="0" borderId="18" xfId="0" applyFont="1" applyBorder="1"/>
    <xf numFmtId="10" fontId="12" fillId="0" borderId="18" xfId="4" applyNumberFormat="1" applyFont="1" applyBorder="1" applyAlignment="1"/>
    <xf numFmtId="10" fontId="16" fillId="0" borderId="2" xfId="0" applyNumberFormat="1" applyFont="1" applyBorder="1"/>
    <xf numFmtId="10" fontId="12" fillId="0" borderId="16" xfId="4" applyNumberFormat="1" applyFont="1" applyBorder="1" applyAlignment="1"/>
    <xf numFmtId="0" fontId="12" fillId="8" borderId="0" xfId="0" applyFont="1" applyFill="1"/>
    <xf numFmtId="10" fontId="12" fillId="8" borderId="0" xfId="0" applyNumberFormat="1" applyFont="1" applyFill="1"/>
    <xf numFmtId="10" fontId="0" fillId="0" borderId="2" xfId="0" applyNumberFormat="1" applyBorder="1"/>
    <xf numFmtId="17" fontId="0" fillId="0" borderId="0" xfId="0" applyNumberFormat="1"/>
    <xf numFmtId="3" fontId="0" fillId="0" borderId="0" xfId="0" applyNumberFormat="1"/>
    <xf numFmtId="0" fontId="5" fillId="4" borderId="0" xfId="0" applyFont="1" applyFill="1"/>
    <xf numFmtId="17" fontId="5" fillId="4" borderId="0" xfId="0" applyNumberFormat="1" applyFont="1" applyFill="1"/>
    <xf numFmtId="0" fontId="6" fillId="0" borderId="19" xfId="0" applyFont="1" applyBorder="1"/>
    <xf numFmtId="3" fontId="6" fillId="0" borderId="19" xfId="0" applyNumberFormat="1" applyFont="1" applyBorder="1"/>
    <xf numFmtId="0" fontId="6" fillId="0" borderId="20" xfId="0" applyFont="1" applyBorder="1"/>
    <xf numFmtId="3" fontId="6" fillId="0" borderId="20" xfId="0" applyNumberFormat="1" applyFont="1" applyBorder="1"/>
    <xf numFmtId="0" fontId="6" fillId="0" borderId="21" xfId="0" applyFont="1" applyBorder="1"/>
    <xf numFmtId="3" fontId="0" fillId="0" borderId="21" xfId="0" applyNumberFormat="1" applyBorder="1"/>
    <xf numFmtId="175" fontId="6" fillId="0" borderId="17" xfId="0" applyNumberFormat="1" applyFont="1" applyBorder="1"/>
    <xf numFmtId="9" fontId="0" fillId="0" borderId="0" xfId="0" applyNumberFormat="1"/>
    <xf numFmtId="0" fontId="6" fillId="0" borderId="17" xfId="0" applyFont="1" applyBorder="1"/>
    <xf numFmtId="0" fontId="0" fillId="0" borderId="22" xfId="0" applyBorder="1"/>
    <xf numFmtId="175" fontId="0" fillId="0" borderId="22" xfId="0" applyNumberFormat="1" applyBorder="1"/>
    <xf numFmtId="0" fontId="0" fillId="8" borderId="0" xfId="0" applyFill="1"/>
    <xf numFmtId="10" fontId="12" fillId="0" borderId="18" xfId="4" applyNumberFormat="1" applyFont="1" applyFill="1" applyBorder="1" applyAlignment="1"/>
    <xf numFmtId="10" fontId="12" fillId="0" borderId="16" xfId="4" applyNumberFormat="1" applyFont="1" applyFill="1" applyBorder="1" applyAlignment="1"/>
    <xf numFmtId="0" fontId="0" fillId="9" borderId="0" xfId="0" applyFill="1"/>
    <xf numFmtId="0" fontId="0" fillId="0" borderId="5" xfId="0" applyBorder="1"/>
    <xf numFmtId="0" fontId="7" fillId="4" borderId="0" xfId="0" applyFont="1" applyFill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top"/>
    </xf>
    <xf numFmtId="0" fontId="0" fillId="0" borderId="6" xfId="0" applyBorder="1"/>
    <xf numFmtId="0" fontId="0" fillId="0" borderId="6" xfId="0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10" fontId="13" fillId="0" borderId="0" xfId="0" applyNumberFormat="1" applyFont="1" applyAlignment="1">
      <alignment horizontal="right"/>
    </xf>
    <xf numFmtId="177" fontId="13" fillId="0" borderId="0" xfId="0" applyNumberFormat="1" applyFont="1"/>
    <xf numFmtId="4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4" fontId="0" fillId="8" borderId="0" xfId="0" applyNumberFormat="1" applyFill="1"/>
    <xf numFmtId="2" fontId="0" fillId="8" borderId="0" xfId="0" applyNumberFormat="1" applyFill="1"/>
    <xf numFmtId="14" fontId="0" fillId="0" borderId="0" xfId="0" applyNumberFormat="1"/>
    <xf numFmtId="0" fontId="6" fillId="0" borderId="0" xfId="0" applyFon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5" xfId="0" applyNumberFormat="1" applyBorder="1" applyAlignment="1">
      <alignment horizontal="right"/>
    </xf>
    <xf numFmtId="2" fontId="0" fillId="0" borderId="5" xfId="0" applyNumberFormat="1" applyBorder="1" applyAlignment="1">
      <alignment horizontal="right"/>
    </xf>
    <xf numFmtId="10" fontId="0" fillId="0" borderId="6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6" fillId="0" borderId="5" xfId="0" applyFont="1" applyBorder="1" applyAlignment="1">
      <alignment horizontal="left"/>
    </xf>
    <xf numFmtId="177" fontId="0" fillId="0" borderId="0" xfId="0" applyNumberFormat="1" applyAlignment="1">
      <alignment horizontal="right"/>
    </xf>
    <xf numFmtId="10" fontId="0" fillId="0" borderId="5" xfId="4" applyNumberFormat="1" applyFont="1" applyBorder="1" applyAlignment="1">
      <alignment horizontal="right"/>
    </xf>
    <xf numFmtId="10" fontId="0" fillId="0" borderId="0" xfId="4" applyNumberFormat="1" applyFont="1"/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6" xfId="0" applyBorder="1" applyAlignment="1">
      <alignment horizontal="right"/>
    </xf>
    <xf numFmtId="10" fontId="0" fillId="0" borderId="16" xfId="4" applyNumberFormat="1" applyFont="1" applyBorder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6" fillId="0" borderId="16" xfId="0" applyFont="1" applyBorder="1" applyAlignment="1">
      <alignment horizontal="left"/>
    </xf>
    <xf numFmtId="0" fontId="6" fillId="0" borderId="16" xfId="0" applyFont="1" applyBorder="1"/>
    <xf numFmtId="177" fontId="6" fillId="0" borderId="16" xfId="0" applyNumberFormat="1" applyFont="1" applyBorder="1" applyAlignment="1">
      <alignment horizontal="right"/>
    </xf>
    <xf numFmtId="10" fontId="6" fillId="0" borderId="16" xfId="0" applyNumberFormat="1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10" fontId="6" fillId="0" borderId="16" xfId="4" applyNumberFormat="1" applyFont="1" applyBorder="1" applyAlignment="1">
      <alignment horizontal="right"/>
    </xf>
    <xf numFmtId="0" fontId="6" fillId="0" borderId="23" xfId="0" applyFont="1" applyBorder="1"/>
    <xf numFmtId="0" fontId="6" fillId="0" borderId="23" xfId="0" applyFont="1" applyBorder="1" applyAlignment="1">
      <alignment horizontal="right"/>
    </xf>
    <xf numFmtId="2" fontId="6" fillId="0" borderId="23" xfId="0" applyNumberFormat="1" applyFont="1" applyBorder="1" applyAlignment="1">
      <alignment horizontal="right"/>
    </xf>
    <xf numFmtId="0" fontId="9" fillId="4" borderId="0" xfId="0" applyFont="1" applyFill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43" fontId="8" fillId="0" borderId="0" xfId="3" applyNumberFormat="1" applyBorder="1" applyAlignment="1" applyProtection="1">
      <alignment horizontal="center"/>
    </xf>
    <xf numFmtId="43" fontId="5" fillId="2" borderId="0" xfId="2" applyNumberFormat="1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shrinkToFit="1"/>
    </xf>
    <xf numFmtId="0" fontId="1" fillId="0" borderId="0" xfId="5"/>
    <xf numFmtId="10" fontId="18" fillId="0" borderId="24" xfId="6" applyNumberFormat="1" applyFont="1" applyBorder="1" applyAlignment="1">
      <alignment horizontal="left"/>
    </xf>
    <xf numFmtId="10" fontId="18" fillId="0" borderId="24" xfId="6" applyNumberFormat="1" applyFont="1" applyFill="1" applyBorder="1" applyAlignment="1">
      <alignment horizontal="left"/>
    </xf>
    <xf numFmtId="2" fontId="20" fillId="0" borderId="24" xfId="7" applyNumberFormat="1" applyFont="1" applyBorder="1" applyAlignment="1">
      <alignment horizontal="left"/>
    </xf>
    <xf numFmtId="10" fontId="20" fillId="0" borderId="24" xfId="7" applyNumberFormat="1" applyFont="1" applyBorder="1" applyAlignment="1">
      <alignment horizontal="left"/>
    </xf>
    <xf numFmtId="178" fontId="20" fillId="0" borderId="24" xfId="7" applyNumberFormat="1" applyFont="1" applyBorder="1" applyAlignment="1">
      <alignment horizontal="left"/>
    </xf>
    <xf numFmtId="0" fontId="20" fillId="0" borderId="24" xfId="7" applyFont="1" applyBorder="1" applyAlignment="1">
      <alignment horizontal="center"/>
    </xf>
    <xf numFmtId="0" fontId="20" fillId="0" borderId="24" xfId="7" applyFont="1" applyBorder="1"/>
    <xf numFmtId="10" fontId="18" fillId="0" borderId="25" xfId="6" applyNumberFormat="1" applyFont="1" applyBorder="1" applyAlignment="1">
      <alignment horizontal="left"/>
    </xf>
    <xf numFmtId="10" fontId="18" fillId="0" borderId="25" xfId="6" applyNumberFormat="1" applyFont="1" applyFill="1" applyBorder="1" applyAlignment="1">
      <alignment horizontal="left"/>
    </xf>
    <xf numFmtId="2" fontId="20" fillId="0" borderId="25" xfId="7" applyNumberFormat="1" applyFont="1" applyBorder="1" applyAlignment="1">
      <alignment horizontal="left"/>
    </xf>
    <xf numFmtId="10" fontId="20" fillId="0" borderId="25" xfId="7" applyNumberFormat="1" applyFont="1" applyBorder="1" applyAlignment="1">
      <alignment horizontal="left"/>
    </xf>
    <xf numFmtId="178" fontId="20" fillId="0" borderId="25" xfId="7" applyNumberFormat="1" applyFont="1" applyBorder="1" applyAlignment="1">
      <alignment horizontal="left"/>
    </xf>
    <xf numFmtId="0" fontId="20" fillId="0" borderId="25" xfId="7" applyFont="1" applyBorder="1" applyAlignment="1">
      <alignment horizontal="center"/>
    </xf>
    <xf numFmtId="0" fontId="20" fillId="0" borderId="25" xfId="7" applyFont="1" applyBorder="1"/>
    <xf numFmtId="10" fontId="21" fillId="0" borderId="26" xfId="6" applyNumberFormat="1" applyFont="1" applyBorder="1" applyAlignment="1">
      <alignment horizontal="left"/>
    </xf>
    <xf numFmtId="10" fontId="21" fillId="0" borderId="26" xfId="6" applyNumberFormat="1" applyFont="1" applyFill="1" applyBorder="1" applyAlignment="1">
      <alignment horizontal="left"/>
    </xf>
    <xf numFmtId="2" fontId="22" fillId="0" borderId="26" xfId="7" applyNumberFormat="1" applyFont="1" applyBorder="1" applyAlignment="1">
      <alignment horizontal="left"/>
    </xf>
    <xf numFmtId="10" fontId="22" fillId="0" borderId="26" xfId="7" applyNumberFormat="1" applyFont="1" applyBorder="1" applyAlignment="1">
      <alignment horizontal="left"/>
    </xf>
    <xf numFmtId="178" fontId="22" fillId="0" borderId="26" xfId="7" applyNumberFormat="1" applyFont="1" applyBorder="1" applyAlignment="1">
      <alignment horizontal="left"/>
    </xf>
    <xf numFmtId="0" fontId="22" fillId="0" borderId="26" xfId="7" applyFont="1" applyBorder="1" applyAlignment="1">
      <alignment horizontal="center"/>
    </xf>
    <xf numFmtId="0" fontId="22" fillId="0" borderId="26" xfId="7" applyFont="1" applyBorder="1"/>
    <xf numFmtId="10" fontId="21" fillId="0" borderId="27" xfId="6" applyNumberFormat="1" applyFont="1" applyBorder="1" applyAlignment="1">
      <alignment horizontal="left"/>
    </xf>
    <xf numFmtId="10" fontId="21" fillId="0" borderId="27" xfId="6" applyNumberFormat="1" applyFont="1" applyFill="1" applyBorder="1" applyAlignment="1">
      <alignment horizontal="left"/>
    </xf>
    <xf numFmtId="2" fontId="22" fillId="0" borderId="27" xfId="7" applyNumberFormat="1" applyFont="1" applyBorder="1" applyAlignment="1">
      <alignment horizontal="left"/>
    </xf>
    <xf numFmtId="10" fontId="22" fillId="0" borderId="27" xfId="7" applyNumberFormat="1" applyFont="1" applyBorder="1" applyAlignment="1">
      <alignment horizontal="left"/>
    </xf>
    <xf numFmtId="178" fontId="22" fillId="0" borderId="27" xfId="7" applyNumberFormat="1" applyFont="1" applyBorder="1" applyAlignment="1">
      <alignment horizontal="left"/>
    </xf>
    <xf numFmtId="0" fontId="22" fillId="0" borderId="27" xfId="7" applyFont="1" applyBorder="1" applyAlignment="1">
      <alignment horizontal="center"/>
    </xf>
    <xf numFmtId="0" fontId="22" fillId="0" borderId="27" xfId="7" applyFont="1" applyBorder="1"/>
    <xf numFmtId="0" fontId="23" fillId="4" borderId="0" xfId="7" applyFont="1" applyFill="1" applyAlignment="1">
      <alignment horizontal="left" wrapText="1"/>
    </xf>
    <xf numFmtId="0" fontId="23" fillId="4" borderId="0" xfId="5" applyFont="1" applyFill="1" applyAlignment="1">
      <alignment horizontal="left" wrapText="1"/>
    </xf>
    <xf numFmtId="0" fontId="24" fillId="0" borderId="0" xfId="5" applyFont="1"/>
    <xf numFmtId="10" fontId="0" fillId="8" borderId="0" xfId="0" applyNumberFormat="1" applyFill="1"/>
    <xf numFmtId="0" fontId="5" fillId="4" borderId="0" xfId="0" applyFont="1" applyFill="1" applyAlignment="1"/>
    <xf numFmtId="176" fontId="0" fillId="0" borderId="0" xfId="0" applyNumberFormat="1"/>
    <xf numFmtId="0" fontId="0" fillId="0" borderId="28" xfId="0" applyBorder="1"/>
    <xf numFmtId="176" fontId="0" fillId="0" borderId="28" xfId="0" applyNumberFormat="1" applyBorder="1"/>
    <xf numFmtId="9" fontId="13" fillId="0" borderId="28" xfId="0" applyNumberFormat="1" applyFont="1" applyBorder="1"/>
    <xf numFmtId="9" fontId="0" fillId="0" borderId="28" xfId="0" applyNumberFormat="1" applyBorder="1"/>
    <xf numFmtId="10" fontId="13" fillId="0" borderId="28" xfId="0" applyNumberFormat="1" applyFont="1" applyBorder="1"/>
    <xf numFmtId="10" fontId="0" fillId="0" borderId="28" xfId="0" applyNumberFormat="1" applyBorder="1"/>
    <xf numFmtId="0" fontId="13" fillId="0" borderId="28" xfId="0" applyFont="1" applyBorder="1"/>
    <xf numFmtId="182" fontId="0" fillId="0" borderId="28" xfId="0" applyNumberFormat="1" applyBorder="1"/>
    <xf numFmtId="176" fontId="6" fillId="0" borderId="16" xfId="0" applyNumberFormat="1" applyFont="1" applyBorder="1"/>
    <xf numFmtId="184" fontId="5" fillId="4" borderId="0" xfId="0" applyNumberFormat="1" applyFont="1" applyFill="1"/>
    <xf numFmtId="185" fontId="5" fillId="4" borderId="0" xfId="0" applyNumberFormat="1" applyFont="1" applyFill="1"/>
    <xf numFmtId="0" fontId="6" fillId="8" borderId="0" xfId="0" applyFont="1" applyFill="1"/>
    <xf numFmtId="176" fontId="0" fillId="8" borderId="0" xfId="0" applyNumberFormat="1" applyFill="1"/>
    <xf numFmtId="188" fontId="0" fillId="8" borderId="0" xfId="0" applyNumberFormat="1" applyFill="1"/>
  </cellXfs>
  <cellStyles count="8">
    <cellStyle name="Accent6" xfId="2" builtinId="49"/>
    <cellStyle name="Comma" xfId="1" builtinId="3"/>
    <cellStyle name="Hyperlink" xfId="3" builtinId="8"/>
    <cellStyle name="Normal" xfId="0" builtinId="0"/>
    <cellStyle name="Normal 2" xfId="5" xr:uid="{E87133E5-3D70-420C-A0B9-8D5261CDEF4F}"/>
    <cellStyle name="Normal 2 2" xfId="7" xr:uid="{0827E08E-E23E-4702-AB2D-F841CE5E31DE}"/>
    <cellStyle name="Percent" xfId="4" builtinId="5"/>
    <cellStyle name="Percent 2" xfId="6" xr:uid="{7FF672F6-363B-4CF0-9C7F-98A235ED23E2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  <color rgb="FFFFFFFF"/>
      <color rgb="FFD0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678180</xdr:colOff>
      <xdr:row>0</xdr:row>
      <xdr:rowOff>0</xdr:rowOff>
    </xdr:from>
    <xdr:to>
      <xdr:col>7</xdr:col>
      <xdr:colOff>358140</xdr:colOff>
      <xdr:row>6</xdr:row>
      <xdr:rowOff>76200</xdr:rowOff>
    </xdr:to>
    <xdr:pic>
      <xdr:nvPicPr>
        <xdr:cNvPr id="2" name="Picture 1" descr="Reliance Industries Limited | RIL">
          <a:extLst>
            <a:ext uri="{FF2B5EF4-FFF2-40B4-BE49-F238E27FC236}">
              <a16:creationId xmlns:a16="http://schemas.microsoft.com/office/drawing/2014/main" id="{CE38E136-8816-45F1-8413-06D10D3A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3380" y="0"/>
          <a:ext cx="209550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365760</xdr:colOff>
      <xdr:row>0</xdr:row>
      <xdr:rowOff>0</xdr:rowOff>
    </xdr:from>
    <xdr:to>
      <xdr:col>8</xdr:col>
      <xdr:colOff>243840</xdr:colOff>
      <xdr:row>6</xdr:row>
      <xdr:rowOff>76200</xdr:rowOff>
    </xdr:to>
    <xdr:pic>
      <xdr:nvPicPr>
        <xdr:cNvPr id="2" name="Picture 1" descr="Reliance Industries Limited | RIL">
          <a:extLst>
            <a:ext uri="{FF2B5EF4-FFF2-40B4-BE49-F238E27FC236}">
              <a16:creationId xmlns:a16="http://schemas.microsoft.com/office/drawing/2014/main" id="{7314BC15-CAB7-47FC-9A49-9A3C7F10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6320" y="0"/>
          <a:ext cx="209550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</xdr:colOff>
      <xdr:row>0</xdr:row>
      <xdr:rowOff>0</xdr:rowOff>
    </xdr:from>
    <xdr:to>
      <xdr:col>7</xdr:col>
      <xdr:colOff>449579</xdr:colOff>
      <xdr:row>6</xdr:row>
      <xdr:rowOff>76200</xdr:rowOff>
    </xdr:to>
    <xdr:pic>
      <xdr:nvPicPr>
        <xdr:cNvPr id="2" name="Picture 1" descr="Reliance Industries Limited | RIL">
          <a:extLst>
            <a:ext uri="{FF2B5EF4-FFF2-40B4-BE49-F238E27FC236}">
              <a16:creationId xmlns:a16="http://schemas.microsoft.com/office/drawing/2014/main" id="{886E6FD0-BBF2-4BAE-AFF9-E4F9C4E3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2480" y="0"/>
          <a:ext cx="2179319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777240</xdr:colOff>
      <xdr:row>0</xdr:row>
      <xdr:rowOff>15240</xdr:rowOff>
    </xdr:from>
    <xdr:to>
      <xdr:col>12</xdr:col>
      <xdr:colOff>487680</xdr:colOff>
      <xdr:row>9</xdr:row>
      <xdr:rowOff>91440</xdr:rowOff>
    </xdr:to>
    <xdr:pic>
      <xdr:nvPicPr>
        <xdr:cNvPr id="3" name="Picture 2" descr="Reliance Industries Limited | RIL">
          <a:extLst>
            <a:ext uri="{FF2B5EF4-FFF2-40B4-BE49-F238E27FC236}">
              <a16:creationId xmlns:a16="http://schemas.microsoft.com/office/drawing/2014/main" id="{078EE2D3-1A75-DB7F-AD8A-94D5E2E7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1280" y="15240"/>
          <a:ext cx="3086100" cy="172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480060</xdr:colOff>
      <xdr:row>0</xdr:row>
      <xdr:rowOff>68580</xdr:rowOff>
    </xdr:from>
    <xdr:to>
      <xdr:col>7</xdr:col>
      <xdr:colOff>342900</xdr:colOff>
      <xdr:row>6</xdr:row>
      <xdr:rowOff>91440</xdr:rowOff>
    </xdr:to>
    <xdr:pic>
      <xdr:nvPicPr>
        <xdr:cNvPr id="2" name="Picture 1" descr="Reliance Industries Limited | RIL">
          <a:extLst>
            <a:ext uri="{FF2B5EF4-FFF2-40B4-BE49-F238E27FC236}">
              <a16:creationId xmlns:a16="http://schemas.microsoft.com/office/drawing/2014/main" id="{4347E9B5-FE5F-42C2-B625-F9CE3266C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1420" y="68580"/>
          <a:ext cx="2148840" cy="112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undgrEBIndia.xls" TargetMode="External"/><Relationship Id="rId1" Type="http://schemas.openxmlformats.org/officeDocument/2006/relationships/externalLinkPath" Target="file:///C:\Users\pc\Downloads\fundgrEBInd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les &amp; FAQ"/>
      <sheetName val="Industry Averages"/>
    </sheetNames>
    <sheetDataSet>
      <sheetData sheetId="0" refreshError="1"/>
      <sheetData sheetId="1" refreshError="1">
        <row r="9">
          <cell r="A9" t="str">
            <v>Advertising</v>
          </cell>
          <cell r="B9">
            <v>13</v>
          </cell>
          <cell r="C9">
            <v>0.5481964403891354</v>
          </cell>
          <cell r="D9">
            <v>1.0688904870530047</v>
          </cell>
          <cell r="E9">
            <v>0.5859619601682664</v>
          </cell>
        </row>
        <row r="10">
          <cell r="A10" t="str">
            <v>Aerospace/Defense</v>
          </cell>
          <cell r="B10">
            <v>13</v>
          </cell>
          <cell r="C10">
            <v>0.32757262775191348</v>
          </cell>
          <cell r="D10">
            <v>0.10374535866880351</v>
          </cell>
          <cell r="E10">
            <v>3.398413975620472E-2</v>
          </cell>
        </row>
        <row r="11">
          <cell r="A11" t="str">
            <v>Air Transport</v>
          </cell>
          <cell r="B11">
            <v>6</v>
          </cell>
          <cell r="C11">
            <v>9.4355938161953916E-3</v>
          </cell>
          <cell r="D11">
            <v>-63.388464512121203</v>
          </cell>
          <cell r="E11">
            <v>-0.59810780376869188</v>
          </cell>
        </row>
        <row r="12">
          <cell r="A12" t="str">
            <v>Apparel</v>
          </cell>
          <cell r="B12">
            <v>323</v>
          </cell>
          <cell r="C12">
            <v>0.10388355683297126</v>
          </cell>
          <cell r="D12">
            <v>0.91596690132646497</v>
          </cell>
          <cell r="E12">
            <v>9.5153899651068408E-2</v>
          </cell>
        </row>
        <row r="13">
          <cell r="A13" t="str">
            <v>Auto &amp; Truck</v>
          </cell>
          <cell r="B13">
            <v>12</v>
          </cell>
          <cell r="C13">
            <v>6.2256581950835124E-2</v>
          </cell>
          <cell r="D13">
            <v>-0.56249703944561291</v>
          </cell>
          <cell r="E13">
            <v>-3.5019143033347938E-2</v>
          </cell>
        </row>
        <row r="14">
          <cell r="A14" t="str">
            <v>Auto Parts</v>
          </cell>
          <cell r="B14">
            <v>107</v>
          </cell>
          <cell r="C14">
            <v>0.10468095423115484</v>
          </cell>
          <cell r="D14">
            <v>0.56606925401020902</v>
          </cell>
          <cell r="E14">
            <v>5.9256669670706655E-2</v>
          </cell>
        </row>
        <row r="15">
          <cell r="A15" t="str">
            <v>Bank (Money Center)</v>
          </cell>
          <cell r="B15">
            <v>32</v>
          </cell>
          <cell r="C15">
            <v>1.2337163217722785E-4</v>
          </cell>
          <cell r="D15">
            <v>95.33594666973957</v>
          </cell>
          <cell r="E15">
            <v>1.176175134580692E-2</v>
          </cell>
        </row>
        <row r="16">
          <cell r="A16" t="str">
            <v>Banks (Regional)</v>
          </cell>
          <cell r="B16">
            <v>5</v>
          </cell>
          <cell r="C16">
            <v>1.5031497250924336E-3</v>
          </cell>
          <cell r="D16">
            <v>14.611621092579158</v>
          </cell>
          <cell r="E16">
            <v>2.1963454228465167E-2</v>
          </cell>
        </row>
        <row r="17">
          <cell r="A17" t="str">
            <v>Beverage (Alcoholic)</v>
          </cell>
          <cell r="B17">
            <v>19</v>
          </cell>
          <cell r="C17">
            <v>0.17381666670255763</v>
          </cell>
          <cell r="D17">
            <v>0.24779292770549396</v>
          </cell>
          <cell r="E17">
            <v>4.3070540726236804E-2</v>
          </cell>
        </row>
        <row r="18">
          <cell r="A18" t="str">
            <v>Beverage (Soft)</v>
          </cell>
          <cell r="B18">
            <v>5</v>
          </cell>
          <cell r="C18">
            <v>0.30811573142810772</v>
          </cell>
          <cell r="D18">
            <v>-0.33803035048388758</v>
          </cell>
          <cell r="E18">
            <v>-0.10415246868424263</v>
          </cell>
        </row>
        <row r="19">
          <cell r="A19" t="str">
            <v>Broadcasting</v>
          </cell>
          <cell r="B19">
            <v>17</v>
          </cell>
          <cell r="C19">
            <v>0.16837757333734121</v>
          </cell>
          <cell r="D19">
            <v>1.034445825626654</v>
          </cell>
          <cell r="E19">
            <v>0.17417747786795842</v>
          </cell>
        </row>
        <row r="20">
          <cell r="A20" t="str">
            <v>Brokerage &amp; Investment Banking</v>
          </cell>
          <cell r="B20">
            <v>174</v>
          </cell>
          <cell r="C20">
            <v>1.9606827671580264E-3</v>
          </cell>
          <cell r="D20">
            <v>5.7275406547151411</v>
          </cell>
          <cell r="E20">
            <v>1.1229890259896977E-2</v>
          </cell>
        </row>
        <row r="21">
          <cell r="A21" t="str">
            <v>Building Materials</v>
          </cell>
          <cell r="B21">
            <v>48</v>
          </cell>
          <cell r="C21">
            <v>0.12764745181169843</v>
          </cell>
          <cell r="D21">
            <v>1.3441071637796804</v>
          </cell>
          <cell r="E21">
            <v>0.1715718544183254</v>
          </cell>
        </row>
        <row r="22">
          <cell r="A22" t="str">
            <v>Business &amp; Consumer Services</v>
          </cell>
          <cell r="B22">
            <v>58</v>
          </cell>
          <cell r="C22">
            <v>0.32829293910402418</v>
          </cell>
          <cell r="D22">
            <v>0.41066112391739112</v>
          </cell>
          <cell r="E22">
            <v>0.13481714734660222</v>
          </cell>
        </row>
        <row r="23">
          <cell r="A23" t="str">
            <v>Cable TV</v>
          </cell>
          <cell r="B23">
            <v>8</v>
          </cell>
          <cell r="C23">
            <v>5.7708734855127036E-2</v>
          </cell>
          <cell r="D23">
            <v>-6.1109338190461444E-2</v>
          </cell>
          <cell r="E23">
            <v>-3.5265425948056281E-3</v>
          </cell>
        </row>
        <row r="24">
          <cell r="A24" t="str">
            <v>Chemical (Basic)</v>
          </cell>
          <cell r="B24">
            <v>128</v>
          </cell>
          <cell r="C24">
            <v>0.15954216904347984</v>
          </cell>
          <cell r="D24">
            <v>0.74643329367882461</v>
          </cell>
          <cell r="E24">
            <v>0.11908758671978847</v>
          </cell>
        </row>
        <row r="25">
          <cell r="A25" t="str">
            <v>Chemical (Diversified)</v>
          </cell>
          <cell r="B25">
            <v>10</v>
          </cell>
          <cell r="C25">
            <v>0.19416394175951318</v>
          </cell>
          <cell r="D25">
            <v>1.1401458666663713</v>
          </cell>
          <cell r="E25">
            <v>0.221375215652759</v>
          </cell>
        </row>
        <row r="26">
          <cell r="A26" t="str">
            <v>Chemical (Specialty)</v>
          </cell>
          <cell r="B26">
            <v>167</v>
          </cell>
          <cell r="C26">
            <v>0.19880313878490141</v>
          </cell>
          <cell r="D26">
            <v>1.0439432416321388</v>
          </cell>
          <cell r="E26">
            <v>0.20753919314975397</v>
          </cell>
        </row>
        <row r="27">
          <cell r="A27" t="str">
            <v>Coal &amp; Related Energy</v>
          </cell>
          <cell r="B27">
            <v>2</v>
          </cell>
          <cell r="C27">
            <v>0.71837339712575421</v>
          </cell>
          <cell r="D27">
            <v>0.41353881262033443</v>
          </cell>
          <cell r="E27">
            <v>0.29707528166542035</v>
          </cell>
        </row>
        <row r="28">
          <cell r="A28" t="str">
            <v>Computer Services</v>
          </cell>
          <cell r="B28">
            <v>132</v>
          </cell>
          <cell r="C28">
            <v>0.34660583553728053</v>
          </cell>
          <cell r="D28">
            <v>0.40001646110603395</v>
          </cell>
          <cell r="E28">
            <v>0.13864803973032297</v>
          </cell>
        </row>
        <row r="29">
          <cell r="A29" t="str">
            <v>Computers/Peripherals</v>
          </cell>
          <cell r="B29">
            <v>6</v>
          </cell>
          <cell r="C29">
            <v>7.3694701090308817E-2</v>
          </cell>
          <cell r="D29">
            <v>1.0856706093494659</v>
          </cell>
          <cell r="E29">
            <v>8.0008171038542325E-2</v>
          </cell>
        </row>
        <row r="30">
          <cell r="A30" t="str">
            <v>Construction Supplies</v>
          </cell>
          <cell r="B30">
            <v>92</v>
          </cell>
          <cell r="C30">
            <v>8.4197292708314359E-2</v>
          </cell>
          <cell r="D30">
            <v>0.63262552870081923</v>
          </cell>
          <cell r="E30">
            <v>5.3265356814775004E-2</v>
          </cell>
        </row>
        <row r="31">
          <cell r="A31" t="str">
            <v>Diversified</v>
          </cell>
          <cell r="B31">
            <v>13</v>
          </cell>
          <cell r="C31">
            <v>4.6292250889799005E-2</v>
          </cell>
          <cell r="D31">
            <v>0.4658713714491578</v>
          </cell>
          <cell r="E31">
            <v>2.1566234409499157E-2</v>
          </cell>
        </row>
        <row r="32">
          <cell r="A32" t="str">
            <v>Drugs (Biotechnology)</v>
          </cell>
          <cell r="B32">
            <v>8</v>
          </cell>
          <cell r="C32">
            <v>7.1127434674824125E-3</v>
          </cell>
          <cell r="D32">
            <v>0.78430757039309884</v>
          </cell>
          <cell r="E32">
            <v>5.5785785478105164E-3</v>
          </cell>
        </row>
        <row r="33">
          <cell r="A33" t="str">
            <v>Drugs (Pharmaceutical)</v>
          </cell>
          <cell r="B33">
            <v>156</v>
          </cell>
          <cell r="C33">
            <v>0.10918096599071117</v>
          </cell>
          <cell r="D33">
            <v>0.50322141597600012</v>
          </cell>
          <cell r="E33">
            <v>5.4942200303473188E-2</v>
          </cell>
        </row>
        <row r="34">
          <cell r="A34" t="str">
            <v>Education</v>
          </cell>
          <cell r="B34">
            <v>26</v>
          </cell>
          <cell r="C34">
            <v>-4.4265499648040384E-4</v>
          </cell>
          <cell r="D34" t="str">
            <v>NA</v>
          </cell>
          <cell r="E34" t="str">
            <v>NA</v>
          </cell>
        </row>
        <row r="35">
          <cell r="A35" t="str">
            <v>Electrical Equipment</v>
          </cell>
          <cell r="B35">
            <v>102</v>
          </cell>
          <cell r="C35">
            <v>8.1961759076178392E-2</v>
          </cell>
          <cell r="D35">
            <v>0.66835194622801919</v>
          </cell>
          <cell r="E35">
            <v>5.4779301194835844E-2</v>
          </cell>
        </row>
        <row r="36">
          <cell r="A36" t="str">
            <v>Electronics (Consumer &amp; Office)</v>
          </cell>
          <cell r="B36">
            <v>8</v>
          </cell>
          <cell r="C36">
            <v>0.18315465983616155</v>
          </cell>
          <cell r="D36">
            <v>1.7809276807530692</v>
          </cell>
          <cell r="E36">
            <v>0.32618520356113251</v>
          </cell>
        </row>
        <row r="37">
          <cell r="A37" t="str">
            <v>Electronics (General)</v>
          </cell>
          <cell r="B37">
            <v>27</v>
          </cell>
          <cell r="C37">
            <v>0.18003386840290664</v>
          </cell>
          <cell r="D37">
            <v>1.5063476318378461</v>
          </cell>
          <cell r="E37">
            <v>0.27119359131932486</v>
          </cell>
        </row>
        <row r="38">
          <cell r="A38" t="str">
            <v>Engineering/Construction</v>
          </cell>
          <cell r="B38">
            <v>144</v>
          </cell>
          <cell r="C38">
            <v>7.575925611051422E-2</v>
          </cell>
          <cell r="D38">
            <v>0.64237266221006528</v>
          </cell>
          <cell r="E38">
            <v>4.8665675034765175E-2</v>
          </cell>
        </row>
        <row r="39">
          <cell r="A39" t="str">
            <v>Entertainment</v>
          </cell>
          <cell r="B39">
            <v>60</v>
          </cell>
          <cell r="C39">
            <v>4.8154167015314088E-2</v>
          </cell>
          <cell r="D39">
            <v>0.13714125017733084</v>
          </cell>
          <cell r="E39">
            <v>6.6039226657281618E-3</v>
          </cell>
        </row>
        <row r="40">
          <cell r="A40" t="str">
            <v>Environmental &amp; Waste Services</v>
          </cell>
          <cell r="B40">
            <v>10</v>
          </cell>
          <cell r="C40">
            <v>0.83833105454766255</v>
          </cell>
          <cell r="D40">
            <v>1.006117767994249</v>
          </cell>
          <cell r="E40">
            <v>0.84345976944175927</v>
          </cell>
        </row>
        <row r="41">
          <cell r="A41" t="str">
            <v>Farming/Agriculture</v>
          </cell>
          <cell r="B41">
            <v>57</v>
          </cell>
          <cell r="C41">
            <v>9.3950548573033893E-2</v>
          </cell>
          <cell r="D41">
            <v>0.43828774850654295</v>
          </cell>
          <cell r="E41">
            <v>4.1177374405029624E-2</v>
          </cell>
        </row>
        <row r="42">
          <cell r="A42" t="str">
            <v>Financial Svcs. (Non-bank &amp; Insurance)</v>
          </cell>
          <cell r="B42">
            <v>254</v>
          </cell>
          <cell r="C42">
            <v>6.7123619413060462E-3</v>
          </cell>
          <cell r="D42">
            <v>0.24313309520786455</v>
          </cell>
          <cell r="E42">
            <v>1.6319973349452094E-3</v>
          </cell>
        </row>
        <row r="43">
          <cell r="A43" t="str">
            <v>Food Processing</v>
          </cell>
          <cell r="B43">
            <v>185</v>
          </cell>
          <cell r="C43">
            <v>0.13447533438704362</v>
          </cell>
          <cell r="D43">
            <v>0.40733985303797321</v>
          </cell>
          <cell r="E43">
            <v>5.4777162946450651E-2</v>
          </cell>
        </row>
        <row r="44">
          <cell r="A44" t="str">
            <v>Food Wholesalers</v>
          </cell>
          <cell r="B44">
            <v>32</v>
          </cell>
          <cell r="C44">
            <v>4.9477152626834789E-2</v>
          </cell>
          <cell r="D44">
            <v>-2.6033413336889013</v>
          </cell>
          <cell r="E44">
            <v>-0.12880591650667342</v>
          </cell>
        </row>
        <row r="45">
          <cell r="A45" t="str">
            <v>Furn/Home Furnishings</v>
          </cell>
          <cell r="B45">
            <v>38</v>
          </cell>
          <cell r="C45">
            <v>0.14085458661753514</v>
          </cell>
          <cell r="D45">
            <v>1.1398352147209652</v>
          </cell>
          <cell r="E45">
            <v>0.16055101798163096</v>
          </cell>
        </row>
        <row r="46">
          <cell r="A46" t="str">
            <v>Green &amp; Renewable Energy</v>
          </cell>
          <cell r="B46">
            <v>18</v>
          </cell>
          <cell r="C46">
            <v>6.280103442734887E-2</v>
          </cell>
          <cell r="D46">
            <v>1.9161914314730939</v>
          </cell>
          <cell r="E46">
            <v>0.12033880405733269</v>
          </cell>
        </row>
        <row r="47">
          <cell r="A47" t="str">
            <v>Healthcare Products</v>
          </cell>
          <cell r="B47">
            <v>13</v>
          </cell>
          <cell r="C47">
            <v>9.8987765742727538E-2</v>
          </cell>
          <cell r="D47">
            <v>1.3246637864868804</v>
          </cell>
          <cell r="E47">
            <v>0.13112550858463776</v>
          </cell>
        </row>
        <row r="48">
          <cell r="A48" t="str">
            <v>Healthcare Support Services</v>
          </cell>
          <cell r="B48">
            <v>30</v>
          </cell>
          <cell r="C48">
            <v>0.33640326513740809</v>
          </cell>
          <cell r="D48">
            <v>1.667038978369614</v>
          </cell>
          <cell r="E48">
            <v>0.5607973554348672</v>
          </cell>
        </row>
        <row r="49">
          <cell r="A49" t="str">
            <v>Heathcare Information and Technology</v>
          </cell>
          <cell r="B49">
            <v>14</v>
          </cell>
          <cell r="C49">
            <v>0.16053382318406825</v>
          </cell>
          <cell r="D49">
            <v>0.42935080078534632</v>
          </cell>
          <cell r="E49">
            <v>6.8925325537212895E-2</v>
          </cell>
        </row>
        <row r="50">
          <cell r="A50" t="str">
            <v>Homebuilding</v>
          </cell>
          <cell r="B50">
            <v>1</v>
          </cell>
          <cell r="C50">
            <v>1.9351717464925013E-2</v>
          </cell>
          <cell r="D50">
            <v>-4.5449999999999999</v>
          </cell>
          <cell r="E50">
            <v>-8.7953555878084178E-2</v>
          </cell>
        </row>
        <row r="51">
          <cell r="A51" t="str">
            <v>Hospitals/Healthcare Facilities</v>
          </cell>
          <cell r="B51">
            <v>24</v>
          </cell>
          <cell r="C51">
            <v>0.16937347750385306</v>
          </cell>
          <cell r="D51">
            <v>0.36507853871185425</v>
          </cell>
          <cell r="E51">
            <v>6.18346216636518E-2</v>
          </cell>
        </row>
        <row r="52">
          <cell r="A52" t="str">
            <v>Hotel/Gaming</v>
          </cell>
          <cell r="B52">
            <v>57</v>
          </cell>
          <cell r="C52">
            <v>5.2289718750837939E-2</v>
          </cell>
          <cell r="D52">
            <v>-0.32336280770495851</v>
          </cell>
          <cell r="E52">
            <v>-1.6908550269373573E-2</v>
          </cell>
        </row>
        <row r="53">
          <cell r="A53" t="str">
            <v>Household Products</v>
          </cell>
          <cell r="B53">
            <v>36</v>
          </cell>
          <cell r="C53">
            <v>0.31665482696145375</v>
          </cell>
          <cell r="D53">
            <v>0.15515145241323383</v>
          </cell>
          <cell r="E53">
            <v>4.9129456316730782E-2</v>
          </cell>
        </row>
        <row r="54">
          <cell r="A54" t="str">
            <v>Information Services</v>
          </cell>
          <cell r="B54">
            <v>24</v>
          </cell>
          <cell r="C54">
            <v>-7.5610892662758599E-3</v>
          </cell>
          <cell r="D54" t="str">
            <v>NA</v>
          </cell>
          <cell r="E54" t="str">
            <v>NA</v>
          </cell>
        </row>
        <row r="55">
          <cell r="A55" t="str">
            <v>Insurance (General)</v>
          </cell>
          <cell r="B55">
            <v>2</v>
          </cell>
          <cell r="C55">
            <v>-0.74265306122448982</v>
          </cell>
          <cell r="D55" t="str">
            <v>NA</v>
          </cell>
          <cell r="E55" t="str">
            <v>NA</v>
          </cell>
        </row>
        <row r="56">
          <cell r="A56" t="str">
            <v>Insurance (Life)</v>
          </cell>
          <cell r="B56">
            <v>7</v>
          </cell>
          <cell r="C56">
            <v>0.48503918606217</v>
          </cell>
          <cell r="D56">
            <v>1.0776730504031691</v>
          </cell>
          <cell r="E56">
            <v>0.52271365920868906</v>
          </cell>
        </row>
        <row r="57">
          <cell r="A57" t="str">
            <v>Insurance (Prop/Cas.)</v>
          </cell>
          <cell r="B57">
            <v>2</v>
          </cell>
          <cell r="C57">
            <v>8.8956498322610267E-2</v>
          </cell>
          <cell r="D57">
            <v>2.3687101478835789E-2</v>
          </cell>
          <cell r="E57">
            <v>2.1071216029695549E-3</v>
          </cell>
        </row>
        <row r="58">
          <cell r="A58" t="str">
            <v>Investments &amp; Asset Management</v>
          </cell>
          <cell r="B58">
            <v>96</v>
          </cell>
          <cell r="C58">
            <v>5.1542131316036174E-2</v>
          </cell>
          <cell r="D58">
            <v>-0.17828198421375291</v>
          </cell>
          <cell r="E58">
            <v>-9.1890334416287415E-3</v>
          </cell>
        </row>
        <row r="59">
          <cell r="A59" t="str">
            <v>Machinery</v>
          </cell>
          <cell r="B59">
            <v>149</v>
          </cell>
          <cell r="C59">
            <v>0.1225804883727552</v>
          </cell>
          <cell r="D59">
            <v>0.46595877840159922</v>
          </cell>
          <cell r="E59">
            <v>5.711745461804045E-2</v>
          </cell>
        </row>
        <row r="60">
          <cell r="A60" t="str">
            <v>Metals &amp; Mining</v>
          </cell>
          <cell r="B60">
            <v>39</v>
          </cell>
          <cell r="C60">
            <v>0.21046688920661849</v>
          </cell>
          <cell r="D60">
            <v>0.22562602282707303</v>
          </cell>
          <cell r="E60">
            <v>4.7486807148475557E-2</v>
          </cell>
        </row>
        <row r="61">
          <cell r="A61" t="str">
            <v>Office Equipment &amp; Services</v>
          </cell>
          <cell r="B61">
            <v>13</v>
          </cell>
          <cell r="C61">
            <v>0.12559802166988535</v>
          </cell>
          <cell r="D61">
            <v>0.75326490938605206</v>
          </cell>
          <cell r="E61">
            <v>9.4608582412233591E-2</v>
          </cell>
        </row>
        <row r="62">
          <cell r="A62" t="str">
            <v>Oil/Gas (Integrated)</v>
          </cell>
          <cell r="B62">
            <v>1</v>
          </cell>
          <cell r="C62">
            <v>0.1098848595789933</v>
          </cell>
          <cell r="D62">
            <v>0.35866953954765568</v>
          </cell>
          <cell r="E62">
            <v>3.9412351988456329E-2</v>
          </cell>
        </row>
        <row r="63">
          <cell r="A63" t="str">
            <v>Oil/Gas (Production and Exploration)</v>
          </cell>
          <cell r="B63">
            <v>6</v>
          </cell>
          <cell r="C63">
            <v>0.20978430327175271</v>
          </cell>
          <cell r="D63">
            <v>0.6485171790246389</v>
          </cell>
          <cell r="E63">
            <v>0.1360487245614464</v>
          </cell>
        </row>
        <row r="64">
          <cell r="A64" t="str">
            <v>Oil/Gas Distribution</v>
          </cell>
          <cell r="B64">
            <v>11</v>
          </cell>
          <cell r="C64">
            <v>0.23549888380661438</v>
          </cell>
          <cell r="D64">
            <v>0.21689389969830022</v>
          </cell>
          <cell r="E64">
            <v>5.1078271283413475E-2</v>
          </cell>
        </row>
        <row r="65">
          <cell r="A65" t="str">
            <v>Oilfield Svcs/Equip.</v>
          </cell>
          <cell r="B65">
            <v>22</v>
          </cell>
          <cell r="C65">
            <v>6.6068807295048201E-2</v>
          </cell>
          <cell r="D65">
            <v>2.1740987584722715</v>
          </cell>
          <cell r="E65">
            <v>0.14364011191390805</v>
          </cell>
        </row>
        <row r="66">
          <cell r="A66" t="str">
            <v>Packaging &amp; Container</v>
          </cell>
          <cell r="B66">
            <v>79</v>
          </cell>
          <cell r="C66">
            <v>9.5540606616498963E-2</v>
          </cell>
          <cell r="D66">
            <v>1.3528022752537048</v>
          </cell>
          <cell r="E66">
            <v>0.12924755000991897</v>
          </cell>
        </row>
        <row r="67">
          <cell r="A67" t="str">
            <v>Paper/Forest Products</v>
          </cell>
          <cell r="B67">
            <v>50</v>
          </cell>
          <cell r="C67">
            <v>0.13374994533427095</v>
          </cell>
          <cell r="D67">
            <v>0.43220992638850314</v>
          </cell>
          <cell r="E67">
            <v>5.7808054027391566E-2</v>
          </cell>
        </row>
        <row r="68">
          <cell r="A68" t="str">
            <v>Power</v>
          </cell>
          <cell r="B68">
            <v>30</v>
          </cell>
          <cell r="C68">
            <v>8.2696670363050673E-2</v>
          </cell>
          <cell r="D68">
            <v>0.6322700593381404</v>
          </cell>
          <cell r="E68">
            <v>5.2286628677512687E-2</v>
          </cell>
        </row>
        <row r="69">
          <cell r="A69" t="str">
            <v>Precious Metals</v>
          </cell>
          <cell r="B69">
            <v>1</v>
          </cell>
          <cell r="C69">
            <v>-5.301080802882141E-2</v>
          </cell>
          <cell r="D69" t="str">
            <v>NA</v>
          </cell>
          <cell r="E69" t="str">
            <v>NA</v>
          </cell>
        </row>
        <row r="70">
          <cell r="A70" t="str">
            <v>Publishing &amp; Newspapers</v>
          </cell>
          <cell r="B70">
            <v>25</v>
          </cell>
          <cell r="C70">
            <v>6.4218423869389196E-2</v>
          </cell>
          <cell r="D70">
            <v>-3.2501892284095488E-2</v>
          </cell>
          <cell r="E70">
            <v>-2.0872202952572742E-3</v>
          </cell>
        </row>
        <row r="71">
          <cell r="A71" t="str">
            <v>R.E.I.T.</v>
          </cell>
          <cell r="B71">
            <v>4</v>
          </cell>
          <cell r="C71">
            <v>4.9187493346518604E-2</v>
          </cell>
          <cell r="D71">
            <v>-0.10685055156666216</v>
          </cell>
          <cell r="E71">
            <v>-5.255710794257038E-3</v>
          </cell>
        </row>
        <row r="72">
          <cell r="A72" t="str">
            <v>Real Estate (Development)</v>
          </cell>
          <cell r="B72">
            <v>137</v>
          </cell>
          <cell r="C72">
            <v>6.3861936512702833E-2</v>
          </cell>
          <cell r="D72">
            <v>0.72178315612017108</v>
          </cell>
          <cell r="E72">
            <v>4.6094470092084644E-2</v>
          </cell>
        </row>
        <row r="73">
          <cell r="A73" t="str">
            <v>Real Estate (General/Diversified)</v>
          </cell>
          <cell r="B73">
            <v>15</v>
          </cell>
          <cell r="C73">
            <v>3.6929998901734373E-2</v>
          </cell>
          <cell r="D73">
            <v>-0.14936515695097619</v>
          </cell>
          <cell r="E73">
            <v>-5.5160550821569329E-3</v>
          </cell>
        </row>
        <row r="74">
          <cell r="A74" t="str">
            <v>Real Estate (Operations &amp; Services)</v>
          </cell>
          <cell r="B74">
            <v>30</v>
          </cell>
          <cell r="C74">
            <v>9.1777448388906585E-2</v>
          </cell>
          <cell r="D74">
            <v>-0.3569986867135469</v>
          </cell>
          <cell r="E74">
            <v>-3.2764428544759978E-2</v>
          </cell>
        </row>
        <row r="75">
          <cell r="A75" t="str">
            <v>Recreation</v>
          </cell>
          <cell r="B75">
            <v>11</v>
          </cell>
          <cell r="C75">
            <v>7.3415578016866628E-2</v>
          </cell>
          <cell r="D75">
            <v>-0.65787781065201723</v>
          </cell>
          <cell r="E75">
            <v>-4.8298479733488581E-2</v>
          </cell>
        </row>
        <row r="76">
          <cell r="A76" t="str">
            <v>Reinsurance</v>
          </cell>
          <cell r="B76">
            <v>1</v>
          </cell>
          <cell r="C76">
            <v>9.1727675389693633E-2</v>
          </cell>
          <cell r="D76">
            <v>3.4129116353550874E-3</v>
          </cell>
          <cell r="E76">
            <v>3.1305845062155988E-4</v>
          </cell>
        </row>
        <row r="77">
          <cell r="A77" t="str">
            <v>Restaurant/Dining</v>
          </cell>
          <cell r="B77">
            <v>13</v>
          </cell>
          <cell r="C77">
            <v>9.0956170319139482E-2</v>
          </cell>
          <cell r="D77">
            <v>0.98617973819658045</v>
          </cell>
          <cell r="E77">
            <v>8.9699132232692561E-2</v>
          </cell>
        </row>
        <row r="78">
          <cell r="A78" t="str">
            <v>Retail (Automotive)</v>
          </cell>
          <cell r="B78">
            <v>4</v>
          </cell>
          <cell r="C78">
            <v>6.4365407710470612E-2</v>
          </cell>
          <cell r="D78">
            <v>1.7932131286483788</v>
          </cell>
          <cell r="E78">
            <v>0.11542089413722149</v>
          </cell>
        </row>
        <row r="79">
          <cell r="A79" t="str">
            <v>Retail (Building Supply)</v>
          </cell>
          <cell r="B79">
            <v>2</v>
          </cell>
          <cell r="C79">
            <v>3.9370986195435213E-2</v>
          </cell>
          <cell r="D79">
            <v>-1.7995437643397778</v>
          </cell>
          <cell r="E79">
            <v>-7.0849812703902906E-2</v>
          </cell>
        </row>
        <row r="80">
          <cell r="A80" t="str">
            <v>Retail (Distributors)</v>
          </cell>
          <cell r="B80">
            <v>239</v>
          </cell>
          <cell r="C80">
            <v>6.8689261905288748E-2</v>
          </cell>
          <cell r="D80">
            <v>1.9151495352569474</v>
          </cell>
          <cell r="E80">
            <v>0.13155020801505649</v>
          </cell>
        </row>
        <row r="81">
          <cell r="A81" t="str">
            <v>Retail (General)</v>
          </cell>
          <cell r="B81">
            <v>5</v>
          </cell>
          <cell r="C81">
            <v>-0.12605658632200917</v>
          </cell>
          <cell r="D81" t="str">
            <v>NA</v>
          </cell>
          <cell r="E81" t="str">
            <v>NA</v>
          </cell>
        </row>
        <row r="82">
          <cell r="A82" t="str">
            <v>Retail (Grocery and Food)</v>
          </cell>
          <cell r="B82">
            <v>5</v>
          </cell>
          <cell r="C82">
            <v>0.19057485838656057</v>
          </cell>
          <cell r="D82">
            <v>1.1102348044084014</v>
          </cell>
          <cell r="E82">
            <v>0.21158284062596186</v>
          </cell>
        </row>
        <row r="83">
          <cell r="A83" t="str">
            <v>Retail (Online)</v>
          </cell>
          <cell r="B83">
            <v>13</v>
          </cell>
          <cell r="C83">
            <v>-0.10306384077234169</v>
          </cell>
          <cell r="D83" t="str">
            <v>NA</v>
          </cell>
          <cell r="E83" t="str">
            <v>NA</v>
          </cell>
        </row>
        <row r="84">
          <cell r="A84" t="str">
            <v>Retail (Special Lines)</v>
          </cell>
          <cell r="B84">
            <v>28</v>
          </cell>
          <cell r="C84">
            <v>4.8689052892431646E-2</v>
          </cell>
          <cell r="D84">
            <v>1.417208206218072</v>
          </cell>
          <cell r="E84">
            <v>6.9002525312139878E-2</v>
          </cell>
        </row>
        <row r="85">
          <cell r="A85" t="str">
            <v>Rubber&amp; Tires</v>
          </cell>
          <cell r="B85">
            <v>16</v>
          </cell>
          <cell r="C85">
            <v>5.9135143065335551E-2</v>
          </cell>
          <cell r="D85">
            <v>1.7097166082735096</v>
          </cell>
          <cell r="E85">
            <v>0.10110433623143425</v>
          </cell>
        </row>
        <row r="86">
          <cell r="A86" t="str">
            <v>Semiconductor</v>
          </cell>
          <cell r="B86">
            <v>8</v>
          </cell>
          <cell r="C86">
            <v>1.8926200126029642E-2</v>
          </cell>
          <cell r="D86">
            <v>8.3739406014669324</v>
          </cell>
          <cell r="E86">
            <v>0.15848687566684819</v>
          </cell>
        </row>
        <row r="87">
          <cell r="A87" t="str">
            <v>Semiconductor Equip</v>
          </cell>
          <cell r="B87">
            <v>1</v>
          </cell>
          <cell r="C87">
            <v>0.17067050953161006</v>
          </cell>
          <cell r="D87">
            <v>3.7305189660419686</v>
          </cell>
          <cell r="E87">
            <v>0.63668957275171789</v>
          </cell>
        </row>
        <row r="88">
          <cell r="A88" t="str">
            <v>Shipbuilding &amp; Marine</v>
          </cell>
          <cell r="B88">
            <v>20</v>
          </cell>
          <cell r="C88">
            <v>0.10065339468144859</v>
          </cell>
          <cell r="D88">
            <v>0.53399783294381487</v>
          </cell>
          <cell r="E88">
            <v>5.3748694638332047E-2</v>
          </cell>
        </row>
        <row r="89">
          <cell r="A89" t="str">
            <v>Shoe</v>
          </cell>
          <cell r="B89">
            <v>12</v>
          </cell>
          <cell r="C89">
            <v>0.15648092232285932</v>
          </cell>
          <cell r="D89">
            <v>0.72860315716744573</v>
          </cell>
          <cell r="E89">
            <v>0.11401249404090913</v>
          </cell>
        </row>
        <row r="90">
          <cell r="A90" t="str">
            <v>Software (Entertainment)</v>
          </cell>
          <cell r="B90">
            <v>7</v>
          </cell>
          <cell r="C90">
            <v>5.9984733530836193E-2</v>
          </cell>
          <cell r="D90">
            <v>0.40206530841180615</v>
          </cell>
          <cell r="E90">
            <v>2.4117780387075665E-2</v>
          </cell>
        </row>
        <row r="91">
          <cell r="A91" t="str">
            <v>Software (Internet)</v>
          </cell>
          <cell r="B91">
            <v>7</v>
          </cell>
          <cell r="C91">
            <v>0.56789025146568062</v>
          </cell>
          <cell r="D91">
            <v>-6.4910136117351636E-2</v>
          </cell>
          <cell r="E91">
            <v>-3.6861833522354379E-2</v>
          </cell>
        </row>
        <row r="92">
          <cell r="A92" t="str">
            <v>Software (System &amp; Application)</v>
          </cell>
          <cell r="B92">
            <v>74</v>
          </cell>
          <cell r="C92">
            <v>0.25609235400320413</v>
          </cell>
          <cell r="D92">
            <v>0.64765322082496157</v>
          </cell>
          <cell r="E92">
            <v>0.16585903789882139</v>
          </cell>
        </row>
        <row r="93">
          <cell r="A93" t="str">
            <v>Steel</v>
          </cell>
          <cell r="B93">
            <v>157</v>
          </cell>
          <cell r="C93">
            <v>0.14882106776599549</v>
          </cell>
          <cell r="D93">
            <v>0.70318179051250562</v>
          </cell>
          <cell r="E93">
            <v>0.10464826489767565</v>
          </cell>
        </row>
        <row r="94">
          <cell r="A94" t="str">
            <v>Telecom (Wireless)</v>
          </cell>
          <cell r="B94">
            <v>3</v>
          </cell>
          <cell r="C94">
            <v>5.1824329356923132E-2</v>
          </cell>
          <cell r="D94">
            <v>-2.3517457986135066</v>
          </cell>
          <cell r="E94">
            <v>-0.12187764883110659</v>
          </cell>
        </row>
        <row r="95">
          <cell r="A95" t="str">
            <v>Telecom. Equipment</v>
          </cell>
          <cell r="B95">
            <v>20</v>
          </cell>
          <cell r="C95">
            <v>1.450058269482798E-2</v>
          </cell>
          <cell r="D95">
            <v>28.45881005219238</v>
          </cell>
          <cell r="E95">
            <v>0.41266932855821736</v>
          </cell>
        </row>
        <row r="96">
          <cell r="A96" t="str">
            <v>Telecom. Services</v>
          </cell>
          <cell r="B96">
            <v>13</v>
          </cell>
          <cell r="C96">
            <v>0.32090346766296463</v>
          </cell>
          <cell r="D96">
            <v>6.8645420617679684E-2</v>
          </cell>
          <cell r="E96">
            <v>2.2028553515396176E-2</v>
          </cell>
        </row>
        <row r="97">
          <cell r="A97" t="str">
            <v>Tobacco</v>
          </cell>
          <cell r="B97">
            <v>5</v>
          </cell>
          <cell r="C97">
            <v>0.26418872028879609</v>
          </cell>
          <cell r="D97">
            <v>0.13033908033352262</v>
          </cell>
          <cell r="E97">
            <v>3.4434114836931928E-2</v>
          </cell>
        </row>
        <row r="98">
          <cell r="A98" t="str">
            <v>Transportation</v>
          </cell>
          <cell r="B98">
            <v>38</v>
          </cell>
          <cell r="C98">
            <v>7.0164053490356385E-2</v>
          </cell>
          <cell r="D98">
            <v>0.35104671237328089</v>
          </cell>
          <cell r="E98">
            <v>2.4630860304572632E-2</v>
          </cell>
        </row>
        <row r="99">
          <cell r="A99" t="str">
            <v>Transportation (Railroads)</v>
          </cell>
          <cell r="B99">
            <v>1</v>
          </cell>
          <cell r="C99">
            <v>0.10595896968298314</v>
          </cell>
          <cell r="D99">
            <v>4.8611039557436616E-3</v>
          </cell>
          <cell r="E99">
            <v>5.1507756667247204E-4</v>
          </cell>
        </row>
        <row r="100">
          <cell r="A100" t="str">
            <v>Trucking</v>
          </cell>
          <cell r="B100">
            <v>12</v>
          </cell>
          <cell r="C100">
            <v>0.15991983580506577</v>
          </cell>
          <cell r="D100">
            <v>0.62135436003497624</v>
          </cell>
          <cell r="E100">
            <v>9.9366887233555121E-2</v>
          </cell>
        </row>
        <row r="101">
          <cell r="A101" t="str">
            <v>Utility (General)</v>
          </cell>
          <cell r="B101">
            <v>0</v>
          </cell>
          <cell r="C101" t="str">
            <v>NA</v>
          </cell>
          <cell r="D101" t="str">
            <v>NA</v>
          </cell>
          <cell r="E101" t="str">
            <v>NA</v>
          </cell>
        </row>
        <row r="102">
          <cell r="A102" t="str">
            <v>Utility (Water)</v>
          </cell>
          <cell r="B102">
            <v>1</v>
          </cell>
          <cell r="C102">
            <v>6.9675444864296276E-2</v>
          </cell>
          <cell r="D102">
            <v>2.2068538367665012</v>
          </cell>
          <cell r="E102">
            <v>0.15376352282718506</v>
          </cell>
        </row>
        <row r="103">
          <cell r="A103" t="str">
            <v>Total Market</v>
          </cell>
          <cell r="B103">
            <v>4149</v>
          </cell>
          <cell r="C103">
            <v>6.9675444864296276E-2</v>
          </cell>
          <cell r="D103">
            <v>0.65584879328164536</v>
          </cell>
          <cell r="E103">
            <v>4.5696556435610526E-2</v>
          </cell>
        </row>
        <row r="104">
          <cell r="A104" t="str">
            <v>Total Market (without financials)</v>
          </cell>
          <cell r="B104">
            <v>3577</v>
          </cell>
          <cell r="C104">
            <v>0.1108387439979267</v>
          </cell>
          <cell r="D104">
            <v>0.63841266876545721</v>
          </cell>
          <cell r="E104">
            <v>7.0760858358327683E-2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AC08B3-7AE1-457B-9D41-0CE648E89B04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vrikUe4YsP9dB1yFyKs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F5A2-C1E5-4B21-94D5-0AE852191AA8}">
  <dimension ref="A2:K94"/>
  <sheetViews>
    <sheetView workbookViewId="0">
      <selection activeCell="K60" sqref="K60"/>
    </sheetView>
  </sheetViews>
  <sheetFormatPr defaultRowHeight="14.4"/>
  <cols>
    <col min="1" max="1" width="24.44140625" bestFit="1" customWidth="1"/>
    <col min="2" max="2" width="24" bestFit="1" customWidth="1"/>
    <col min="3" max="9" width="11" bestFit="1" customWidth="1"/>
    <col min="10" max="11" width="12" bestFit="1" customWidth="1"/>
    <col min="12" max="12" width="9.109375" customWidth="1"/>
  </cols>
  <sheetData>
    <row r="2" spans="1:11">
      <c r="A2" s="1" t="s">
        <v>0</v>
      </c>
      <c r="B2" s="1" t="s">
        <v>1</v>
      </c>
      <c r="C2" s="1"/>
      <c r="D2" s="1"/>
      <c r="E2" s="196" t="str">
        <f>IF(B3&lt;&gt;B4, "A NEW VERSION OF THE WORKSHEET IS AVAILABLE", "")</f>
        <v/>
      </c>
      <c r="F2" s="196"/>
      <c r="G2" s="196"/>
      <c r="H2" s="196"/>
      <c r="I2" s="196"/>
      <c r="J2" s="196"/>
      <c r="K2" s="196"/>
    </row>
    <row r="3" spans="1:11">
      <c r="A3" s="1" t="s">
        <v>2</v>
      </c>
      <c r="B3" s="2">
        <v>2.1</v>
      </c>
      <c r="C3" s="2"/>
      <c r="D3" s="2"/>
      <c r="E3" s="197" t="s">
        <v>3</v>
      </c>
      <c r="F3" s="197"/>
      <c r="G3" s="197"/>
      <c r="H3" s="197"/>
      <c r="I3" s="197"/>
      <c r="J3" s="197"/>
      <c r="K3" s="197"/>
    </row>
    <row r="4" spans="1:11">
      <c r="A4" s="1" t="s">
        <v>4</v>
      </c>
      <c r="B4" s="2">
        <v>2.1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 t="s">
        <v>6</v>
      </c>
      <c r="B7" s="2">
        <f>IF(B10&gt;0, B10/B9, 0)</f>
        <v>1353.8808287724785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2" t="s">
        <v>7</v>
      </c>
      <c r="B8">
        <v>10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2" t="s">
        <v>8</v>
      </c>
      <c r="B9">
        <v>1279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 t="s">
        <v>9</v>
      </c>
      <c r="B10">
        <v>1731613.58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3" t="s">
        <v>11</v>
      </c>
      <c r="B17" s="4">
        <v>42825</v>
      </c>
      <c r="C17" s="4">
        <v>43190</v>
      </c>
      <c r="D17" s="4">
        <v>43555</v>
      </c>
      <c r="E17" s="4">
        <v>43921</v>
      </c>
      <c r="F17" s="4">
        <v>44286</v>
      </c>
      <c r="G17" s="4">
        <v>44651</v>
      </c>
      <c r="H17" s="4">
        <v>45016</v>
      </c>
      <c r="I17" s="4">
        <v>45382</v>
      </c>
      <c r="J17" s="4">
        <v>45747</v>
      </c>
      <c r="K17" s="4">
        <v>46112</v>
      </c>
    </row>
    <row r="18" spans="1:11">
      <c r="A18" s="5" t="s">
        <v>12</v>
      </c>
      <c r="B18">
        <v>303954</v>
      </c>
      <c r="C18">
        <v>390823</v>
      </c>
      <c r="D18">
        <v>568337</v>
      </c>
      <c r="E18">
        <v>596679</v>
      </c>
      <c r="F18">
        <v>466307</v>
      </c>
      <c r="G18">
        <v>694673</v>
      </c>
      <c r="H18">
        <v>876396</v>
      </c>
      <c r="I18">
        <v>899041</v>
      </c>
      <c r="J18">
        <v>962820</v>
      </c>
      <c r="K18">
        <v>1055780</v>
      </c>
    </row>
    <row r="19" spans="1:11">
      <c r="A19" s="2" t="s">
        <v>13</v>
      </c>
      <c r="B19">
        <v>217518</v>
      </c>
      <c r="C19">
        <v>276076</v>
      </c>
      <c r="D19">
        <v>399167</v>
      </c>
      <c r="E19">
        <v>410288</v>
      </c>
      <c r="F19">
        <v>301765</v>
      </c>
      <c r="G19">
        <v>494449</v>
      </c>
      <c r="H19">
        <v>618746</v>
      </c>
      <c r="I19">
        <v>590226</v>
      </c>
      <c r="J19">
        <v>644813</v>
      </c>
      <c r="K19">
        <v>698930</v>
      </c>
    </row>
    <row r="20" spans="1:11">
      <c r="A20" s="2" t="s">
        <v>14</v>
      </c>
      <c r="B20">
        <v>5218</v>
      </c>
      <c r="C20">
        <v>8610</v>
      </c>
      <c r="D20">
        <v>4680</v>
      </c>
      <c r="E20">
        <v>5048</v>
      </c>
      <c r="F20">
        <v>9064</v>
      </c>
      <c r="G20">
        <v>21457</v>
      </c>
      <c r="H20">
        <v>30263</v>
      </c>
      <c r="I20">
        <v>4883</v>
      </c>
      <c r="J20">
        <v>15124</v>
      </c>
      <c r="K20">
        <v>10267</v>
      </c>
    </row>
    <row r="21" spans="1:11">
      <c r="A21" s="2" t="s">
        <v>15</v>
      </c>
      <c r="B21">
        <v>11251</v>
      </c>
      <c r="C21">
        <v>14569</v>
      </c>
      <c r="D21">
        <v>17029</v>
      </c>
      <c r="E21">
        <v>15098</v>
      </c>
      <c r="F21">
        <v>13214</v>
      </c>
      <c r="G21">
        <v>17902</v>
      </c>
      <c r="H21">
        <v>25062</v>
      </c>
      <c r="I21">
        <v>22137</v>
      </c>
      <c r="J21">
        <v>23823</v>
      </c>
      <c r="K21">
        <v>22069</v>
      </c>
    </row>
    <row r="22" spans="1:11">
      <c r="A22" s="2" t="s">
        <v>16</v>
      </c>
      <c r="B22">
        <v>9909</v>
      </c>
      <c r="C22">
        <v>9691</v>
      </c>
      <c r="D22">
        <v>12198</v>
      </c>
      <c r="E22">
        <v>11434</v>
      </c>
      <c r="F22">
        <v>7687</v>
      </c>
      <c r="G22">
        <v>12174</v>
      </c>
      <c r="H22">
        <v>19658</v>
      </c>
      <c r="I22">
        <v>18276</v>
      </c>
      <c r="J22">
        <v>18358</v>
      </c>
      <c r="K22">
        <v>21162</v>
      </c>
    </row>
    <row r="23" spans="1:11">
      <c r="A23" s="2" t="s">
        <v>17</v>
      </c>
      <c r="B23">
        <v>8388</v>
      </c>
      <c r="C23">
        <v>9523</v>
      </c>
      <c r="D23">
        <v>12488</v>
      </c>
      <c r="E23">
        <v>14075</v>
      </c>
      <c r="F23">
        <v>14817</v>
      </c>
      <c r="G23">
        <v>18758</v>
      </c>
      <c r="H23">
        <v>24872</v>
      </c>
      <c r="I23">
        <v>25679</v>
      </c>
      <c r="J23">
        <v>28559</v>
      </c>
      <c r="K23">
        <v>30318</v>
      </c>
    </row>
    <row r="24" spans="1:11">
      <c r="A24" s="2" t="s">
        <v>18</v>
      </c>
      <c r="B24">
        <v>18520</v>
      </c>
      <c r="C24">
        <v>29111</v>
      </c>
      <c r="D24">
        <v>50221</v>
      </c>
      <c r="E24">
        <v>62622</v>
      </c>
      <c r="F24">
        <v>56154</v>
      </c>
      <c r="G24">
        <v>63513</v>
      </c>
      <c r="H24">
        <v>67369</v>
      </c>
      <c r="I24">
        <v>77292</v>
      </c>
      <c r="J24">
        <v>88760</v>
      </c>
      <c r="K24">
        <v>104723</v>
      </c>
    </row>
    <row r="25" spans="1:11">
      <c r="A25" s="2" t="s">
        <v>19</v>
      </c>
      <c r="B25">
        <v>-2721</v>
      </c>
      <c r="C25">
        <v>-3852</v>
      </c>
      <c r="D25">
        <v>-2336</v>
      </c>
      <c r="E25">
        <v>-1056</v>
      </c>
      <c r="F25">
        <v>944</v>
      </c>
      <c r="G25">
        <v>753</v>
      </c>
      <c r="H25">
        <v>8634</v>
      </c>
      <c r="I25">
        <v>7816</v>
      </c>
      <c r="J25">
        <v>8033</v>
      </c>
      <c r="K25">
        <v>9780</v>
      </c>
    </row>
    <row r="26" spans="1:11">
      <c r="A26" s="5" t="s">
        <v>20</v>
      </c>
      <c r="B26">
        <v>9222</v>
      </c>
      <c r="C26">
        <v>9869</v>
      </c>
      <c r="D26">
        <v>8406</v>
      </c>
      <c r="E26">
        <v>8570</v>
      </c>
      <c r="F26">
        <v>22432</v>
      </c>
      <c r="G26">
        <v>19600</v>
      </c>
      <c r="H26">
        <v>12020</v>
      </c>
      <c r="I26">
        <v>15792</v>
      </c>
      <c r="J26">
        <v>17824</v>
      </c>
      <c r="K26">
        <v>28846</v>
      </c>
    </row>
    <row r="27" spans="1:11" ht="20.399999999999999" customHeight="1">
      <c r="A27" s="5" t="s">
        <v>21</v>
      </c>
      <c r="B27">
        <v>11646</v>
      </c>
      <c r="C27">
        <v>16706</v>
      </c>
      <c r="D27">
        <v>20934</v>
      </c>
      <c r="E27">
        <v>22203</v>
      </c>
      <c r="F27">
        <v>26572</v>
      </c>
      <c r="G27">
        <v>29782</v>
      </c>
      <c r="H27">
        <v>40303</v>
      </c>
      <c r="I27">
        <v>50832</v>
      </c>
      <c r="J27">
        <v>53136</v>
      </c>
      <c r="K27">
        <v>57688</v>
      </c>
    </row>
    <row r="28" spans="1:11">
      <c r="A28" s="5" t="s">
        <v>22</v>
      </c>
      <c r="B28">
        <v>3849</v>
      </c>
      <c r="C28">
        <v>8052</v>
      </c>
      <c r="D28">
        <v>16495</v>
      </c>
      <c r="E28">
        <v>22027</v>
      </c>
      <c r="F28">
        <v>21189</v>
      </c>
      <c r="G28">
        <v>14584</v>
      </c>
      <c r="H28">
        <v>19571</v>
      </c>
      <c r="I28">
        <v>23118</v>
      </c>
      <c r="J28">
        <v>24269</v>
      </c>
      <c r="K28">
        <v>27061</v>
      </c>
    </row>
    <row r="29" spans="1:11">
      <c r="A29" s="5" t="s">
        <v>23</v>
      </c>
      <c r="B29">
        <v>40034</v>
      </c>
      <c r="C29">
        <v>49426</v>
      </c>
      <c r="D29">
        <v>55227</v>
      </c>
      <c r="E29">
        <v>53606</v>
      </c>
      <c r="F29">
        <v>55461</v>
      </c>
      <c r="G29">
        <v>83815</v>
      </c>
      <c r="H29">
        <v>94464</v>
      </c>
      <c r="I29">
        <v>104340</v>
      </c>
      <c r="J29">
        <v>106017</v>
      </c>
      <c r="K29">
        <v>123162</v>
      </c>
    </row>
    <row r="30" spans="1:11">
      <c r="A30" s="5" t="s">
        <v>24</v>
      </c>
      <c r="B30">
        <v>10201</v>
      </c>
      <c r="C30">
        <v>13346</v>
      </c>
      <c r="D30">
        <v>15390</v>
      </c>
      <c r="E30">
        <v>13726</v>
      </c>
      <c r="F30">
        <v>1722</v>
      </c>
      <c r="G30">
        <v>15970</v>
      </c>
      <c r="H30">
        <v>20376</v>
      </c>
      <c r="I30">
        <v>25707</v>
      </c>
      <c r="J30">
        <v>25230</v>
      </c>
      <c r="K30">
        <v>27552</v>
      </c>
    </row>
    <row r="31" spans="1:11">
      <c r="A31" s="5" t="s">
        <v>25</v>
      </c>
      <c r="B31">
        <v>29901</v>
      </c>
      <c r="C31">
        <v>36075</v>
      </c>
      <c r="D31">
        <v>39588</v>
      </c>
      <c r="E31">
        <v>39354</v>
      </c>
      <c r="F31">
        <v>49128</v>
      </c>
      <c r="G31">
        <v>60705</v>
      </c>
      <c r="H31">
        <v>66702</v>
      </c>
      <c r="I31">
        <v>69621</v>
      </c>
      <c r="J31">
        <v>69648</v>
      </c>
      <c r="K31">
        <v>80775</v>
      </c>
    </row>
    <row r="32" spans="1:11">
      <c r="A32" s="5" t="s">
        <v>26</v>
      </c>
      <c r="B32">
        <v>3254.9</v>
      </c>
      <c r="C32">
        <v>3553.2</v>
      </c>
      <c r="D32">
        <v>3851.9</v>
      </c>
      <c r="E32">
        <v>4120.3500000000004</v>
      </c>
      <c r="F32">
        <v>4511.5</v>
      </c>
      <c r="G32">
        <v>5412</v>
      </c>
      <c r="H32">
        <v>6089.4</v>
      </c>
      <c r="I32">
        <v>6766</v>
      </c>
      <c r="J32">
        <v>7442.6</v>
      </c>
      <c r="K32">
        <v>8119.2</v>
      </c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1" t="s">
        <v>27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3" t="s">
        <v>11</v>
      </c>
      <c r="B42" s="4">
        <v>45382</v>
      </c>
      <c r="C42" s="4">
        <v>45473</v>
      </c>
      <c r="D42" s="4">
        <v>45565</v>
      </c>
      <c r="E42" s="4">
        <v>45657</v>
      </c>
      <c r="F42" s="4">
        <v>45747</v>
      </c>
      <c r="G42" s="4">
        <v>45838</v>
      </c>
      <c r="H42" s="4">
        <v>45930</v>
      </c>
      <c r="I42" s="4">
        <v>46022</v>
      </c>
      <c r="J42" s="4">
        <v>46112</v>
      </c>
      <c r="K42" s="4">
        <v>46203</v>
      </c>
    </row>
    <row r="43" spans="1:11">
      <c r="A43" s="5" t="s">
        <v>12</v>
      </c>
      <c r="B43">
        <v>236533</v>
      </c>
      <c r="C43">
        <v>231784</v>
      </c>
      <c r="D43">
        <v>231535</v>
      </c>
      <c r="E43">
        <v>239986</v>
      </c>
      <c r="F43">
        <v>261388</v>
      </c>
      <c r="G43">
        <v>243632</v>
      </c>
      <c r="H43">
        <v>254623</v>
      </c>
      <c r="I43">
        <v>264905</v>
      </c>
      <c r="J43">
        <v>294059</v>
      </c>
      <c r="K43">
        <v>309468</v>
      </c>
    </row>
    <row r="44" spans="1:11">
      <c r="A44" s="5" t="s">
        <v>28</v>
      </c>
      <c r="B44">
        <v>194017</v>
      </c>
      <c r="C44">
        <v>193019</v>
      </c>
      <c r="D44">
        <v>192477</v>
      </c>
      <c r="E44">
        <v>196197</v>
      </c>
      <c r="F44">
        <v>217556</v>
      </c>
      <c r="G44">
        <v>200727</v>
      </c>
      <c r="H44">
        <v>208738</v>
      </c>
      <c r="I44">
        <v>218887</v>
      </c>
      <c r="J44">
        <v>249918</v>
      </c>
      <c r="K44">
        <v>261951</v>
      </c>
    </row>
    <row r="45" spans="1:11">
      <c r="A45" s="5" t="s">
        <v>20</v>
      </c>
      <c r="B45">
        <v>4534</v>
      </c>
      <c r="C45">
        <v>3983</v>
      </c>
      <c r="D45">
        <v>4876</v>
      </c>
      <c r="E45">
        <v>4214</v>
      </c>
      <c r="F45">
        <v>4905</v>
      </c>
      <c r="G45">
        <v>15119</v>
      </c>
      <c r="H45">
        <v>4482</v>
      </c>
      <c r="I45">
        <v>4914</v>
      </c>
      <c r="J45">
        <v>4447</v>
      </c>
      <c r="K45">
        <v>6550</v>
      </c>
    </row>
    <row r="46" spans="1:11">
      <c r="A46" s="5" t="s">
        <v>21</v>
      </c>
      <c r="B46">
        <v>13569</v>
      </c>
      <c r="C46">
        <v>13596</v>
      </c>
      <c r="D46">
        <v>12880</v>
      </c>
      <c r="E46">
        <v>13181</v>
      </c>
      <c r="F46">
        <v>13479</v>
      </c>
      <c r="G46">
        <v>13842</v>
      </c>
      <c r="H46">
        <v>14416</v>
      </c>
      <c r="I46">
        <v>14622</v>
      </c>
      <c r="J46">
        <v>14808</v>
      </c>
      <c r="K46">
        <v>15100</v>
      </c>
    </row>
    <row r="47" spans="1:11">
      <c r="A47" s="5" t="s">
        <v>22</v>
      </c>
      <c r="B47">
        <v>5761</v>
      </c>
      <c r="C47">
        <v>5918</v>
      </c>
      <c r="D47">
        <v>6017</v>
      </c>
      <c r="E47">
        <v>6179</v>
      </c>
      <c r="F47">
        <v>6155</v>
      </c>
      <c r="G47">
        <v>7036</v>
      </c>
      <c r="H47">
        <v>6827</v>
      </c>
      <c r="I47">
        <v>6613</v>
      </c>
      <c r="J47">
        <v>6585</v>
      </c>
      <c r="K47">
        <v>8337</v>
      </c>
    </row>
    <row r="48" spans="1:11">
      <c r="A48" s="5" t="s">
        <v>23</v>
      </c>
      <c r="B48">
        <v>27720</v>
      </c>
      <c r="C48">
        <v>23234</v>
      </c>
      <c r="D48">
        <v>25037</v>
      </c>
      <c r="E48">
        <v>28643</v>
      </c>
      <c r="F48">
        <v>29103</v>
      </c>
      <c r="G48">
        <v>37146</v>
      </c>
      <c r="H48">
        <v>29124</v>
      </c>
      <c r="I48">
        <v>29697</v>
      </c>
      <c r="J48">
        <v>27195</v>
      </c>
      <c r="K48">
        <v>30630</v>
      </c>
    </row>
    <row r="49" spans="1:11">
      <c r="A49" s="5" t="s">
        <v>24</v>
      </c>
      <c r="B49">
        <v>6577</v>
      </c>
      <c r="C49">
        <v>5786</v>
      </c>
      <c r="D49">
        <v>5936</v>
      </c>
      <c r="E49">
        <v>6839</v>
      </c>
      <c r="F49">
        <v>6669</v>
      </c>
      <c r="G49">
        <v>6465</v>
      </c>
      <c r="H49">
        <v>6978</v>
      </c>
      <c r="I49">
        <v>7530</v>
      </c>
      <c r="J49">
        <v>6579</v>
      </c>
      <c r="K49">
        <v>7629</v>
      </c>
    </row>
    <row r="50" spans="1:11">
      <c r="A50" s="5" t="s">
        <v>25</v>
      </c>
      <c r="B50">
        <v>18951</v>
      </c>
      <c r="C50">
        <v>15138</v>
      </c>
      <c r="D50">
        <v>16563</v>
      </c>
      <c r="E50">
        <v>18540</v>
      </c>
      <c r="F50">
        <v>19407</v>
      </c>
      <c r="G50">
        <v>26994</v>
      </c>
      <c r="H50">
        <v>18165</v>
      </c>
      <c r="I50">
        <v>18645</v>
      </c>
      <c r="J50">
        <v>16971</v>
      </c>
      <c r="K50">
        <v>20946</v>
      </c>
    </row>
    <row r="51" spans="1:11">
      <c r="A51" s="5" t="s">
        <v>29</v>
      </c>
      <c r="B51">
        <v>42516</v>
      </c>
      <c r="C51">
        <v>38765</v>
      </c>
      <c r="D51">
        <v>39058</v>
      </c>
      <c r="E51">
        <v>43789</v>
      </c>
      <c r="F51">
        <v>43832</v>
      </c>
      <c r="G51">
        <v>42905</v>
      </c>
      <c r="H51">
        <v>45885</v>
      </c>
      <c r="I51">
        <v>46018</v>
      </c>
      <c r="J51">
        <v>44141</v>
      </c>
      <c r="K51">
        <v>47517</v>
      </c>
    </row>
    <row r="52" spans="1:11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1" t="s">
        <v>30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3" t="s">
        <v>11</v>
      </c>
      <c r="B57" s="4">
        <v>42825</v>
      </c>
      <c r="C57" s="4">
        <v>43190</v>
      </c>
      <c r="D57" s="4">
        <v>43555</v>
      </c>
      <c r="E57" s="4">
        <v>43921</v>
      </c>
      <c r="F57" s="4">
        <v>44286</v>
      </c>
      <c r="G57" s="4">
        <v>44651</v>
      </c>
      <c r="H57" s="4">
        <v>45016</v>
      </c>
      <c r="I57" s="4">
        <v>45382</v>
      </c>
      <c r="J57" s="4">
        <v>45747</v>
      </c>
      <c r="K57" s="4">
        <v>46112</v>
      </c>
    </row>
    <row r="58" spans="1:11">
      <c r="A58" s="5" t="s">
        <v>31</v>
      </c>
      <c r="B58">
        <v>2959</v>
      </c>
      <c r="C58">
        <v>5922</v>
      </c>
      <c r="D58">
        <v>5926</v>
      </c>
      <c r="E58">
        <v>6339</v>
      </c>
      <c r="F58">
        <v>6445</v>
      </c>
      <c r="G58">
        <v>6765</v>
      </c>
      <c r="H58">
        <v>6766</v>
      </c>
      <c r="I58">
        <v>6766</v>
      </c>
      <c r="J58">
        <v>13532</v>
      </c>
      <c r="K58">
        <v>13532</v>
      </c>
    </row>
    <row r="59" spans="1:11">
      <c r="A59" s="5" t="s">
        <v>32</v>
      </c>
      <c r="B59">
        <v>260750</v>
      </c>
      <c r="C59">
        <v>287584</v>
      </c>
      <c r="D59">
        <v>381186</v>
      </c>
      <c r="E59">
        <v>442827</v>
      </c>
      <c r="F59">
        <v>693727</v>
      </c>
      <c r="G59">
        <v>772720</v>
      </c>
      <c r="H59">
        <v>709106</v>
      </c>
      <c r="I59">
        <v>786715</v>
      </c>
      <c r="J59">
        <v>829668</v>
      </c>
      <c r="K59">
        <v>890498</v>
      </c>
    </row>
    <row r="60" spans="1:11">
      <c r="A60" s="5" t="s">
        <v>33</v>
      </c>
      <c r="B60">
        <v>217475</v>
      </c>
      <c r="C60">
        <v>239843</v>
      </c>
      <c r="D60">
        <v>307714</v>
      </c>
      <c r="E60">
        <v>355133</v>
      </c>
      <c r="F60">
        <v>278962</v>
      </c>
      <c r="G60">
        <v>319158</v>
      </c>
      <c r="H60">
        <v>451664</v>
      </c>
      <c r="I60">
        <v>350719</v>
      </c>
      <c r="J60">
        <v>374313</v>
      </c>
      <c r="K60">
        <v>402962</v>
      </c>
    </row>
    <row r="61" spans="1:11">
      <c r="A61" s="5" t="s">
        <v>34</v>
      </c>
      <c r="B61">
        <v>225618</v>
      </c>
      <c r="C61">
        <v>277924</v>
      </c>
      <c r="D61">
        <v>302804</v>
      </c>
      <c r="E61">
        <v>358716</v>
      </c>
      <c r="F61">
        <v>340931</v>
      </c>
      <c r="G61">
        <v>399979</v>
      </c>
      <c r="H61">
        <v>438346</v>
      </c>
      <c r="I61">
        <v>610848</v>
      </c>
      <c r="J61">
        <v>732200</v>
      </c>
      <c r="K61">
        <v>870554</v>
      </c>
    </row>
    <row r="62" spans="1:11">
      <c r="A62" s="1" t="s">
        <v>35</v>
      </c>
      <c r="B62">
        <v>706802</v>
      </c>
      <c r="C62">
        <v>811273</v>
      </c>
      <c r="D62">
        <v>997630</v>
      </c>
      <c r="E62">
        <v>1163015</v>
      </c>
      <c r="F62">
        <v>1320065</v>
      </c>
      <c r="G62">
        <v>1498622</v>
      </c>
      <c r="H62">
        <v>1605882</v>
      </c>
      <c r="I62">
        <v>1755048</v>
      </c>
      <c r="J62">
        <v>1949713</v>
      </c>
      <c r="K62">
        <v>2177546</v>
      </c>
    </row>
    <row r="63" spans="1:11">
      <c r="A63" s="5" t="s">
        <v>36</v>
      </c>
      <c r="B63">
        <v>198526</v>
      </c>
      <c r="C63">
        <v>403885</v>
      </c>
      <c r="D63">
        <v>398374</v>
      </c>
      <c r="E63">
        <v>532658</v>
      </c>
      <c r="F63">
        <v>541258</v>
      </c>
      <c r="G63">
        <v>627798</v>
      </c>
      <c r="H63">
        <v>724805</v>
      </c>
      <c r="I63">
        <v>779985</v>
      </c>
      <c r="J63">
        <v>999393</v>
      </c>
      <c r="K63">
        <v>1124795</v>
      </c>
    </row>
    <row r="64" spans="1:11">
      <c r="A64" s="5" t="s">
        <v>37</v>
      </c>
      <c r="B64">
        <v>324837</v>
      </c>
      <c r="C64">
        <v>187022</v>
      </c>
      <c r="D64">
        <v>179463</v>
      </c>
      <c r="E64">
        <v>109106</v>
      </c>
      <c r="F64">
        <v>125953</v>
      </c>
      <c r="G64">
        <v>172506</v>
      </c>
      <c r="H64">
        <v>293752</v>
      </c>
      <c r="I64">
        <v>338855</v>
      </c>
      <c r="J64">
        <v>262358</v>
      </c>
      <c r="K64">
        <v>237686</v>
      </c>
    </row>
    <row r="65" spans="1:11">
      <c r="A65" s="5" t="s">
        <v>38</v>
      </c>
      <c r="B65">
        <v>82899</v>
      </c>
      <c r="C65">
        <v>82862</v>
      </c>
      <c r="D65">
        <v>235635</v>
      </c>
      <c r="E65">
        <v>276767</v>
      </c>
      <c r="F65">
        <v>364828</v>
      </c>
      <c r="G65">
        <v>394264</v>
      </c>
      <c r="H65">
        <v>235560</v>
      </c>
      <c r="I65">
        <v>225672</v>
      </c>
      <c r="J65">
        <v>242381</v>
      </c>
      <c r="K65">
        <v>248332</v>
      </c>
    </row>
    <row r="66" spans="1:11">
      <c r="A66" s="5" t="s">
        <v>39</v>
      </c>
      <c r="B66">
        <v>100540</v>
      </c>
      <c r="C66">
        <v>137504</v>
      </c>
      <c r="D66">
        <v>184158</v>
      </c>
      <c r="E66">
        <v>244484</v>
      </c>
      <c r="F66">
        <v>288026</v>
      </c>
      <c r="G66">
        <v>304054</v>
      </c>
      <c r="H66">
        <v>351765</v>
      </c>
      <c r="I66">
        <v>410536</v>
      </c>
      <c r="J66">
        <v>445581</v>
      </c>
      <c r="K66">
        <v>566733</v>
      </c>
    </row>
    <row r="67" spans="1:11">
      <c r="A67" s="1" t="s">
        <v>35</v>
      </c>
      <c r="B67">
        <v>706802</v>
      </c>
      <c r="C67">
        <v>811273</v>
      </c>
      <c r="D67">
        <v>997630</v>
      </c>
      <c r="E67">
        <v>1163015</v>
      </c>
      <c r="F67">
        <v>1320065</v>
      </c>
      <c r="G67">
        <v>1498622</v>
      </c>
      <c r="H67">
        <v>1605882</v>
      </c>
      <c r="I67">
        <v>1755048</v>
      </c>
      <c r="J67">
        <v>1949713</v>
      </c>
      <c r="K67">
        <v>2177546</v>
      </c>
    </row>
    <row r="68" spans="1:11">
      <c r="A68" s="5" t="s">
        <v>40</v>
      </c>
      <c r="B68">
        <v>8177</v>
      </c>
      <c r="C68">
        <v>17555</v>
      </c>
      <c r="D68">
        <v>30089</v>
      </c>
      <c r="E68">
        <v>19656</v>
      </c>
      <c r="F68">
        <v>19014</v>
      </c>
      <c r="G68">
        <v>23640</v>
      </c>
      <c r="H68">
        <v>28448</v>
      </c>
      <c r="I68">
        <v>31628</v>
      </c>
      <c r="J68">
        <v>42121</v>
      </c>
      <c r="K68">
        <v>58491</v>
      </c>
    </row>
    <row r="69" spans="1:11">
      <c r="A69" s="5" t="s">
        <v>41</v>
      </c>
      <c r="B69">
        <v>48951</v>
      </c>
      <c r="C69">
        <v>60837</v>
      </c>
      <c r="D69">
        <v>67561</v>
      </c>
      <c r="E69">
        <v>73903</v>
      </c>
      <c r="F69">
        <v>81672</v>
      </c>
      <c r="G69">
        <v>107778</v>
      </c>
      <c r="H69">
        <v>140008</v>
      </c>
      <c r="I69">
        <v>152770</v>
      </c>
      <c r="J69">
        <v>146062</v>
      </c>
      <c r="K69">
        <v>166941</v>
      </c>
    </row>
    <row r="70" spans="1:11">
      <c r="A70" s="2" t="s">
        <v>42</v>
      </c>
      <c r="B70">
        <v>3023</v>
      </c>
      <c r="C70">
        <v>4255</v>
      </c>
      <c r="D70">
        <v>11081</v>
      </c>
      <c r="E70">
        <v>30920</v>
      </c>
      <c r="F70">
        <v>17397</v>
      </c>
      <c r="G70">
        <v>36178</v>
      </c>
      <c r="H70">
        <v>68664</v>
      </c>
      <c r="I70">
        <v>97225</v>
      </c>
      <c r="J70">
        <v>106502</v>
      </c>
      <c r="K70">
        <v>145977</v>
      </c>
    </row>
    <row r="71" spans="1:11">
      <c r="A71" s="2" t="s">
        <v>43</v>
      </c>
      <c r="B71">
        <v>2958924277</v>
      </c>
      <c r="C71">
        <v>5921826196</v>
      </c>
      <c r="D71">
        <v>5925868997</v>
      </c>
      <c r="E71">
        <v>6338693823</v>
      </c>
      <c r="F71">
        <v>6762068814</v>
      </c>
      <c r="G71">
        <v>6765994014</v>
      </c>
      <c r="H71">
        <v>6766094014</v>
      </c>
      <c r="I71">
        <v>6766094014</v>
      </c>
      <c r="J71">
        <v>13532515463</v>
      </c>
      <c r="K71">
        <v>13532472634</v>
      </c>
    </row>
    <row r="72" spans="1:11">
      <c r="A72" s="2" t="s">
        <v>44</v>
      </c>
      <c r="B72" s="2"/>
      <c r="C72">
        <v>2959863235</v>
      </c>
      <c r="D72">
        <v>2959863235</v>
      </c>
      <c r="E72" s="2"/>
      <c r="F72" s="2"/>
      <c r="G72" s="2"/>
      <c r="H72" s="2"/>
      <c r="I72" s="2"/>
      <c r="J72">
        <v>6766186449</v>
      </c>
      <c r="K72">
        <v>11955084287</v>
      </c>
    </row>
    <row r="73" spans="1:11">
      <c r="A73" s="2" t="s">
        <v>45</v>
      </c>
      <c r="B73">
        <v>10</v>
      </c>
      <c r="C73">
        <v>10</v>
      </c>
      <c r="D73">
        <v>10</v>
      </c>
      <c r="E73">
        <v>10</v>
      </c>
      <c r="F73">
        <v>10</v>
      </c>
      <c r="G73">
        <v>10</v>
      </c>
      <c r="H73">
        <v>10</v>
      </c>
      <c r="I73">
        <v>10</v>
      </c>
      <c r="J73">
        <v>10</v>
      </c>
      <c r="K73">
        <v>10</v>
      </c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1" t="s">
        <v>46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3" t="s">
        <v>11</v>
      </c>
      <c r="B82" s="4">
        <v>42825</v>
      </c>
      <c r="C82" s="4">
        <v>43190</v>
      </c>
      <c r="D82" s="4">
        <v>43555</v>
      </c>
      <c r="E82" s="4">
        <v>43921</v>
      </c>
      <c r="F82" s="4">
        <v>44286</v>
      </c>
      <c r="G82" s="4">
        <v>44651</v>
      </c>
      <c r="H82" s="4">
        <v>45016</v>
      </c>
      <c r="I82" s="4">
        <v>45382</v>
      </c>
      <c r="J82" s="4">
        <v>45747</v>
      </c>
      <c r="K82" s="4">
        <v>46112</v>
      </c>
    </row>
    <row r="83" spans="1:11">
      <c r="A83" s="5" t="s">
        <v>47</v>
      </c>
      <c r="B83">
        <v>49550</v>
      </c>
      <c r="C83">
        <v>71459</v>
      </c>
      <c r="D83">
        <v>42346</v>
      </c>
      <c r="E83">
        <v>94877</v>
      </c>
      <c r="F83">
        <v>26958</v>
      </c>
      <c r="G83">
        <v>110654</v>
      </c>
      <c r="H83">
        <v>115032</v>
      </c>
      <c r="I83">
        <v>158788</v>
      </c>
      <c r="J83">
        <v>178703</v>
      </c>
      <c r="K83">
        <v>192113</v>
      </c>
    </row>
    <row r="84" spans="1:11">
      <c r="A84" s="5" t="s">
        <v>48</v>
      </c>
      <c r="B84">
        <v>-66201</v>
      </c>
      <c r="C84">
        <v>-68192</v>
      </c>
      <c r="D84">
        <v>-94507</v>
      </c>
      <c r="E84">
        <v>-72497</v>
      </c>
      <c r="F84">
        <v>-142385</v>
      </c>
      <c r="G84">
        <v>-109162</v>
      </c>
      <c r="H84">
        <v>-93001</v>
      </c>
      <c r="I84">
        <v>-113581</v>
      </c>
      <c r="J84">
        <v>-137535</v>
      </c>
      <c r="K84">
        <v>-101089</v>
      </c>
    </row>
    <row r="85" spans="1:11">
      <c r="A85" s="5" t="s">
        <v>49</v>
      </c>
      <c r="B85">
        <v>8617</v>
      </c>
      <c r="C85">
        <v>-2001</v>
      </c>
      <c r="D85">
        <v>55906</v>
      </c>
      <c r="E85">
        <v>-2541</v>
      </c>
      <c r="F85">
        <v>101904</v>
      </c>
      <c r="G85">
        <v>17289</v>
      </c>
      <c r="H85">
        <v>10455</v>
      </c>
      <c r="I85">
        <v>-16646</v>
      </c>
      <c r="J85">
        <v>-31891</v>
      </c>
      <c r="K85">
        <v>-51549</v>
      </c>
    </row>
    <row r="86" spans="1:11">
      <c r="A86" s="5" t="s">
        <v>50</v>
      </c>
      <c r="B86">
        <v>-8034</v>
      </c>
      <c r="C86">
        <v>1266</v>
      </c>
      <c r="D86">
        <v>3745</v>
      </c>
      <c r="E86">
        <v>19839</v>
      </c>
      <c r="F86">
        <v>-13523</v>
      </c>
      <c r="G86">
        <v>18781</v>
      </c>
      <c r="H86">
        <v>32486</v>
      </c>
      <c r="I86">
        <v>28561</v>
      </c>
      <c r="J86">
        <v>9277</v>
      </c>
      <c r="K86">
        <v>39475</v>
      </c>
    </row>
    <row r="87" spans="1:11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1" t="s">
        <v>51</v>
      </c>
      <c r="B91">
        <v>300.08999999999997</v>
      </c>
      <c r="C91">
        <v>401.08</v>
      </c>
      <c r="D91">
        <v>619.42999999999995</v>
      </c>
      <c r="E91">
        <v>506.06</v>
      </c>
      <c r="F91">
        <v>918.78</v>
      </c>
      <c r="G91">
        <v>1208.51</v>
      </c>
      <c r="H91">
        <v>1069.21</v>
      </c>
      <c r="I91">
        <v>1485.85</v>
      </c>
      <c r="J91">
        <v>1275.0999999999999</v>
      </c>
      <c r="K91">
        <v>1343.9</v>
      </c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1" t="s">
        <v>52</v>
      </c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2" t="s">
        <v>53</v>
      </c>
      <c r="B94" s="6">
        <v>1387.22</v>
      </c>
      <c r="C94" s="6">
        <v>1351.39</v>
      </c>
      <c r="D94" s="6">
        <v>1352.26</v>
      </c>
      <c r="E94" s="6">
        <v>1352.37</v>
      </c>
      <c r="F94" s="6">
        <v>1267.8900000000001</v>
      </c>
      <c r="G94" s="6">
        <v>1352.98</v>
      </c>
      <c r="H94" s="6">
        <v>1353.12</v>
      </c>
      <c r="I94" s="6">
        <v>1353.14</v>
      </c>
      <c r="J94" s="6">
        <v>1353.24</v>
      </c>
      <c r="K94" s="6">
        <v>1353.25</v>
      </c>
    </row>
  </sheetData>
  <mergeCells count="2">
    <mergeCell ref="E2:K2"/>
    <mergeCell ref="E3:K3"/>
  </mergeCells>
  <conditionalFormatting sqref="E2:K2">
    <cfRule type="cellIs" dxfId="0" priority="1" operator="notEqual">
      <formula>""</formula>
    </cfRule>
  </conditionalFormatting>
  <hyperlinks>
    <hyperlink ref="E2:K2" r:id="rId1" display="https://www.screener.in/excel/" xr:uid="{92922ABB-BF58-4773-B5CF-81EA6CBAD2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0401-6C97-4F43-BD77-BB0D2925EEFA}">
  <dimension ref="A8:N97"/>
  <sheetViews>
    <sheetView showGridLines="0" zoomScaleNormal="100" workbookViewId="0">
      <pane ySplit="9" topLeftCell="A64" activePane="bottomLeft" state="frozen"/>
      <selection pane="bottomLeft" activeCell="L50" sqref="L50"/>
    </sheetView>
  </sheetViews>
  <sheetFormatPr defaultRowHeight="14.4" outlineLevelRow="1"/>
  <cols>
    <col min="1" max="1" width="1.88671875" style="22" customWidth="1"/>
    <col min="2" max="2" width="27" style="22" bestFit="1" customWidth="1"/>
    <col min="3" max="5" width="11.109375" style="22" bestFit="1" customWidth="1"/>
    <col min="6" max="6" width="12" style="22" bestFit="1" customWidth="1"/>
    <col min="7" max="8" width="12.109375" style="22" bestFit="1" customWidth="1"/>
    <col min="9" max="9" width="12" style="22" bestFit="1" customWidth="1"/>
    <col min="10" max="12" width="12.109375" style="22" bestFit="1" customWidth="1"/>
    <col min="13" max="13" width="8.88671875" style="22"/>
    <col min="14" max="14" width="9.44140625" style="22" bestFit="1" customWidth="1"/>
    <col min="15" max="16384" width="8.88671875" style="22"/>
  </cols>
  <sheetData>
    <row r="8" spans="1:12">
      <c r="B8" s="193" t="str">
        <f>"Historical Financial Statement-"&amp;'Data Sheet '!B2</f>
        <v>Historical Financial Statement-RELIANCE INDUSTRIES LTD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</row>
    <row r="9" spans="1:12">
      <c r="B9" s="19" t="s">
        <v>54</v>
      </c>
      <c r="C9" s="20">
        <f>'Data Sheet '!B17</f>
        <v>42825</v>
      </c>
      <c r="D9" s="20">
        <f>'Data Sheet '!C17</f>
        <v>43190</v>
      </c>
      <c r="E9" s="20">
        <f>'Data Sheet '!D17</f>
        <v>43555</v>
      </c>
      <c r="F9" s="20">
        <f>'Data Sheet '!E17</f>
        <v>43921</v>
      </c>
      <c r="G9" s="20">
        <f>'Data Sheet '!F17</f>
        <v>44286</v>
      </c>
      <c r="H9" s="20">
        <f>'Data Sheet '!G17</f>
        <v>44651</v>
      </c>
      <c r="I9" s="20">
        <f>'Data Sheet '!H17</f>
        <v>45016</v>
      </c>
      <c r="J9" s="20">
        <f>'Data Sheet '!I17</f>
        <v>45382</v>
      </c>
      <c r="K9" s="20">
        <f>'Data Sheet '!J17</f>
        <v>45747</v>
      </c>
      <c r="L9" s="20">
        <f>'Data Sheet '!K17</f>
        <v>46112</v>
      </c>
    </row>
    <row r="11" spans="1:12">
      <c r="A11" s="22" t="s">
        <v>56</v>
      </c>
      <c r="B11" s="14" t="s">
        <v>55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outlineLevel="1">
      <c r="B12" s="23" t="s">
        <v>12</v>
      </c>
      <c r="C12" s="24">
        <f>IFERROR('Data Sheet '!B18,0)</f>
        <v>303954</v>
      </c>
      <c r="D12" s="24">
        <f>IFERROR('Data Sheet '!C18,0)</f>
        <v>390823</v>
      </c>
      <c r="E12" s="24">
        <f>IFERROR('Data Sheet '!D18,0)</f>
        <v>568337</v>
      </c>
      <c r="F12" s="24">
        <f>IFERROR('Data Sheet '!E18,0)</f>
        <v>596679</v>
      </c>
      <c r="G12" s="24">
        <f>IFERROR('Data Sheet '!F18,0)</f>
        <v>466307</v>
      </c>
      <c r="H12" s="24">
        <f>IFERROR('Data Sheet '!G18,0)</f>
        <v>694673</v>
      </c>
      <c r="I12" s="24">
        <f>IFERROR('Data Sheet '!H18,0)</f>
        <v>876396</v>
      </c>
      <c r="J12" s="24">
        <f>IFERROR('Data Sheet '!I18,0)</f>
        <v>899041</v>
      </c>
      <c r="K12" s="24">
        <f>IFERROR('Data Sheet '!J18,0)</f>
        <v>962820</v>
      </c>
      <c r="L12" s="24">
        <f>IFERROR('Data Sheet '!K18,0)</f>
        <v>1055780</v>
      </c>
    </row>
    <row r="13" spans="1:12" outlineLevel="1">
      <c r="B13" s="8" t="s">
        <v>148</v>
      </c>
      <c r="C13" s="8"/>
      <c r="D13" s="9">
        <f>D12/C12-1</f>
        <v>0.28579653500200686</v>
      </c>
      <c r="E13" s="9">
        <f t="shared" ref="E13:L13" si="0">E12/D12-1</f>
        <v>0.45420561225925793</v>
      </c>
      <c r="F13" s="9">
        <f t="shared" si="0"/>
        <v>4.9868299969912266E-2</v>
      </c>
      <c r="G13" s="9">
        <f t="shared" si="0"/>
        <v>-0.21849604226057895</v>
      </c>
      <c r="H13" s="9">
        <f t="shared" si="0"/>
        <v>0.48973315862725619</v>
      </c>
      <c r="I13" s="9">
        <f t="shared" si="0"/>
        <v>0.26159502384575184</v>
      </c>
      <c r="J13" s="9">
        <f t="shared" si="0"/>
        <v>2.5838776078393799E-2</v>
      </c>
      <c r="K13" s="9">
        <f t="shared" si="0"/>
        <v>7.0941147289167006E-2</v>
      </c>
      <c r="L13" s="9">
        <f t="shared" si="0"/>
        <v>9.6549718535136275E-2</v>
      </c>
    </row>
    <row r="14" spans="1:12" outlineLevel="1"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</row>
    <row r="15" spans="1:12" outlineLevel="1">
      <c r="B15" s="25" t="str">
        <f>'Data Sheet '!A20</f>
        <v>Change in Inventory</v>
      </c>
      <c r="C15" s="26">
        <f>'Data Sheet '!B20</f>
        <v>5218</v>
      </c>
      <c r="D15" s="26">
        <f>'Data Sheet '!C20</f>
        <v>8610</v>
      </c>
      <c r="E15" s="26">
        <f>'Data Sheet '!D20</f>
        <v>4680</v>
      </c>
      <c r="F15" s="26">
        <f>'Data Sheet '!E20</f>
        <v>5048</v>
      </c>
      <c r="G15" s="26">
        <f>'Data Sheet '!F20</f>
        <v>9064</v>
      </c>
      <c r="H15" s="26">
        <f>'Data Sheet '!G20</f>
        <v>21457</v>
      </c>
      <c r="I15" s="26">
        <f>'Data Sheet '!H20</f>
        <v>30263</v>
      </c>
      <c r="J15" s="26">
        <f>'Data Sheet '!I20</f>
        <v>4883</v>
      </c>
      <c r="K15" s="26">
        <f>'Data Sheet '!J20</f>
        <v>15124</v>
      </c>
      <c r="L15" s="26">
        <f>'Data Sheet '!K20</f>
        <v>10267</v>
      </c>
    </row>
    <row r="16" spans="1:12" outlineLevel="1"/>
    <row r="17" spans="2:14" outlineLevel="1">
      <c r="B17" s="27" t="str">
        <f>'Data Sheet '!A19</f>
        <v>Raw Material Cost</v>
      </c>
      <c r="C17" s="28">
        <f>IFERROR('Data Sheet '!B19,0)</f>
        <v>217518</v>
      </c>
      <c r="D17" s="28">
        <f>IFERROR('Data Sheet '!C19,0)</f>
        <v>276076</v>
      </c>
      <c r="E17" s="28">
        <f>IFERROR('Data Sheet '!D19,0)</f>
        <v>399167</v>
      </c>
      <c r="F17" s="28">
        <f>IFERROR('Data Sheet '!E19,0)</f>
        <v>410288</v>
      </c>
      <c r="G17" s="28">
        <f>IFERROR('Data Sheet '!F19,0)</f>
        <v>301765</v>
      </c>
      <c r="H17" s="28">
        <f>IFERROR('Data Sheet '!G19,0)</f>
        <v>494449</v>
      </c>
      <c r="I17" s="28">
        <f>IFERROR('Data Sheet '!H19,0)</f>
        <v>618746</v>
      </c>
      <c r="J17" s="28">
        <f>IFERROR('Data Sheet '!I19,0)</f>
        <v>590226</v>
      </c>
      <c r="K17" s="28">
        <f>IFERROR('Data Sheet '!J19,0)</f>
        <v>644813</v>
      </c>
      <c r="L17" s="28">
        <f>IFERROR('Data Sheet '!K19,0)</f>
        <v>698930</v>
      </c>
    </row>
    <row r="18" spans="2:14" outlineLevel="1">
      <c r="B18" s="15" t="str">
        <f>'Data Sheet '!A21</f>
        <v>Power and Fuel</v>
      </c>
      <c r="C18" s="29">
        <f>IFERROR('Data Sheet '!B21,0)</f>
        <v>11251</v>
      </c>
      <c r="D18" s="29">
        <f>IFERROR('Data Sheet '!C21,0)</f>
        <v>14569</v>
      </c>
      <c r="E18" s="29">
        <f>IFERROR('Data Sheet '!D21,0)</f>
        <v>17029</v>
      </c>
      <c r="F18" s="29">
        <f>IFERROR('Data Sheet '!E21,0)</f>
        <v>15098</v>
      </c>
      <c r="G18" s="29">
        <f>IFERROR('Data Sheet '!F21,0)</f>
        <v>13214</v>
      </c>
      <c r="H18" s="29">
        <f>IFERROR('Data Sheet '!G21,0)</f>
        <v>17902</v>
      </c>
      <c r="I18" s="29">
        <f>IFERROR('Data Sheet '!H21,0)</f>
        <v>25062</v>
      </c>
      <c r="J18" s="29">
        <f>IFERROR('Data Sheet '!I21,0)</f>
        <v>22137</v>
      </c>
      <c r="K18" s="29">
        <f>IFERROR('Data Sheet '!J21,0)</f>
        <v>23823</v>
      </c>
      <c r="L18" s="29">
        <f>IFERROR('Data Sheet '!K21,0)</f>
        <v>22069</v>
      </c>
    </row>
    <row r="19" spans="2:14" outlineLevel="1">
      <c r="B19" s="15" t="str">
        <f>'Data Sheet '!A22</f>
        <v>Other Mfr. Exp</v>
      </c>
      <c r="C19" s="29">
        <f>IFERROR('Data Sheet '!B22,0)</f>
        <v>9909</v>
      </c>
      <c r="D19" s="29">
        <f>IFERROR('Data Sheet '!C22,0)</f>
        <v>9691</v>
      </c>
      <c r="E19" s="29">
        <f>IFERROR('Data Sheet '!D22,0)</f>
        <v>12198</v>
      </c>
      <c r="F19" s="29">
        <f>IFERROR('Data Sheet '!E22,0)</f>
        <v>11434</v>
      </c>
      <c r="G19" s="29">
        <f>IFERROR('Data Sheet '!F22,0)</f>
        <v>7687</v>
      </c>
      <c r="H19" s="29">
        <f>IFERROR('Data Sheet '!G22,0)</f>
        <v>12174</v>
      </c>
      <c r="I19" s="29">
        <f>IFERROR('Data Sheet '!H22,0)</f>
        <v>19658</v>
      </c>
      <c r="J19" s="29">
        <f>IFERROR('Data Sheet '!I22,0)</f>
        <v>18276</v>
      </c>
      <c r="K19" s="29">
        <f>IFERROR('Data Sheet '!J22,0)</f>
        <v>18358</v>
      </c>
      <c r="L19" s="29">
        <f>IFERROR('Data Sheet '!K22,0)</f>
        <v>21162</v>
      </c>
    </row>
    <row r="20" spans="2:14" outlineLevel="1">
      <c r="B20" s="30" t="str">
        <f>'Data Sheet '!A23</f>
        <v>Employee Cost</v>
      </c>
      <c r="C20" s="31">
        <f>IFERROR('Data Sheet '!B23,0)</f>
        <v>8388</v>
      </c>
      <c r="D20" s="31">
        <f>IFERROR('Data Sheet '!C23,0)</f>
        <v>9523</v>
      </c>
      <c r="E20" s="31">
        <f>IFERROR('Data Sheet '!D23,0)</f>
        <v>12488</v>
      </c>
      <c r="F20" s="31">
        <f>IFERROR('Data Sheet '!E23,0)</f>
        <v>14075</v>
      </c>
      <c r="G20" s="31">
        <f>IFERROR('Data Sheet '!F23,0)</f>
        <v>14817</v>
      </c>
      <c r="H20" s="31">
        <f>IFERROR('Data Sheet '!G23,0)</f>
        <v>18758</v>
      </c>
      <c r="I20" s="31">
        <f>IFERROR('Data Sheet '!H23,0)</f>
        <v>24872</v>
      </c>
      <c r="J20" s="31">
        <f>IFERROR('Data Sheet '!I23,0)</f>
        <v>25679</v>
      </c>
      <c r="K20" s="31">
        <f>IFERROR('Data Sheet '!J23,0)</f>
        <v>28559</v>
      </c>
      <c r="L20" s="31">
        <f>IFERROR('Data Sheet '!K23,0)</f>
        <v>30318</v>
      </c>
    </row>
    <row r="21" spans="2:14" outlineLevel="1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2:14" outlineLevel="1">
      <c r="B22" s="15" t="s">
        <v>57</v>
      </c>
      <c r="C22" s="29">
        <f>IFERROR(SUM(C17,C18,C19,C20),0)</f>
        <v>247066</v>
      </c>
      <c r="D22" s="29">
        <f t="shared" ref="D22:L22" si="1">IFERROR(SUM(D17,D18,D19,D20),0)</f>
        <v>309859</v>
      </c>
      <c r="E22" s="29">
        <f t="shared" si="1"/>
        <v>440882</v>
      </c>
      <c r="F22" s="29">
        <f t="shared" si="1"/>
        <v>450895</v>
      </c>
      <c r="G22" s="29">
        <f t="shared" si="1"/>
        <v>337483</v>
      </c>
      <c r="H22" s="29">
        <f t="shared" si="1"/>
        <v>543283</v>
      </c>
      <c r="I22" s="29">
        <f t="shared" si="1"/>
        <v>688338</v>
      </c>
      <c r="J22" s="29">
        <f t="shared" si="1"/>
        <v>656318</v>
      </c>
      <c r="K22" s="29">
        <f t="shared" si="1"/>
        <v>715553</v>
      </c>
      <c r="L22" s="29">
        <f t="shared" si="1"/>
        <v>772479</v>
      </c>
    </row>
    <row r="23" spans="2:14" outlineLevel="1">
      <c r="B23" s="11" t="s">
        <v>58</v>
      </c>
      <c r="C23" s="9">
        <f>C22/C12</f>
        <v>0.81284010080472702</v>
      </c>
      <c r="D23" s="9">
        <f t="shared" ref="D23:L23" si="2">D22/D12</f>
        <v>0.79283716669694471</v>
      </c>
      <c r="E23" s="9">
        <f t="shared" si="2"/>
        <v>0.77574044976835932</v>
      </c>
      <c r="F23" s="9">
        <f t="shared" si="2"/>
        <v>0.75567432405028501</v>
      </c>
      <c r="G23" s="9">
        <f t="shared" si="2"/>
        <v>0.72373565054781508</v>
      </c>
      <c r="H23" s="9">
        <f t="shared" si="2"/>
        <v>0.7820701250804335</v>
      </c>
      <c r="I23" s="9">
        <f t="shared" si="2"/>
        <v>0.78541892021414972</v>
      </c>
      <c r="J23" s="9">
        <f t="shared" si="2"/>
        <v>0.73002009919458621</v>
      </c>
      <c r="K23" s="9">
        <f t="shared" si="2"/>
        <v>0.74318460356037475</v>
      </c>
      <c r="L23" s="9">
        <f t="shared" si="2"/>
        <v>0.73166663509443253</v>
      </c>
    </row>
    <row r="24" spans="2:14" outlineLevel="1">
      <c r="B24" s="11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2:14" outlineLevel="1">
      <c r="B25" s="12" t="s">
        <v>59</v>
      </c>
      <c r="C25" s="106">
        <f>IFERROR(SUM(C12,C15)-C22,0)</f>
        <v>62106</v>
      </c>
      <c r="D25" s="106">
        <f t="shared" ref="D25:L25" si="3">IFERROR(SUM(D12,D15)-D22,0)</f>
        <v>89574</v>
      </c>
      <c r="E25" s="106">
        <f t="shared" si="3"/>
        <v>132135</v>
      </c>
      <c r="F25" s="106">
        <f t="shared" si="3"/>
        <v>150832</v>
      </c>
      <c r="G25" s="106">
        <f t="shared" si="3"/>
        <v>137888</v>
      </c>
      <c r="H25" s="106">
        <f t="shared" si="3"/>
        <v>172847</v>
      </c>
      <c r="I25" s="106">
        <f t="shared" si="3"/>
        <v>218321</v>
      </c>
      <c r="J25" s="106">
        <f t="shared" si="3"/>
        <v>247606</v>
      </c>
      <c r="K25" s="106">
        <f t="shared" si="3"/>
        <v>262391</v>
      </c>
      <c r="L25" s="106">
        <f t="shared" si="3"/>
        <v>293568</v>
      </c>
    </row>
    <row r="26" spans="2:14" outlineLevel="1">
      <c r="B26" s="11" t="s">
        <v>61</v>
      </c>
      <c r="C26" s="9">
        <f>C25/C12</f>
        <v>0.20432697052843524</v>
      </c>
      <c r="D26" s="9">
        <f t="shared" ref="D26:L26" si="4">D25/D12</f>
        <v>0.22919326651706784</v>
      </c>
      <c r="E26" s="9">
        <f t="shared" si="4"/>
        <v>0.23249410121107722</v>
      </c>
      <c r="F26" s="9">
        <f t="shared" si="4"/>
        <v>0.25278583627042345</v>
      </c>
      <c r="G26" s="9">
        <f t="shared" si="4"/>
        <v>0.29570218761459727</v>
      </c>
      <c r="H26" s="9">
        <f t="shared" si="4"/>
        <v>0.24881778908925495</v>
      </c>
      <c r="I26" s="9">
        <f t="shared" si="4"/>
        <v>0.24911227344716316</v>
      </c>
      <c r="J26" s="9">
        <f t="shared" si="4"/>
        <v>0.27541124375862724</v>
      </c>
      <c r="K26" s="9">
        <f t="shared" si="4"/>
        <v>0.27252342078477804</v>
      </c>
      <c r="L26" s="9">
        <f t="shared" si="4"/>
        <v>0.27805792873515317</v>
      </c>
    </row>
    <row r="27" spans="2:14" outlineLevel="1">
      <c r="B27" s="11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2:14" outlineLevel="1">
      <c r="B28" s="15" t="str">
        <f>'Data Sheet '!A24</f>
        <v>Selling and admin</v>
      </c>
      <c r="C28" s="29">
        <f>'Data Sheet '!B24</f>
        <v>18520</v>
      </c>
      <c r="D28" s="29">
        <f>'Data Sheet '!C24</f>
        <v>29111</v>
      </c>
      <c r="E28" s="29">
        <f>'Data Sheet '!D24</f>
        <v>50221</v>
      </c>
      <c r="F28" s="29">
        <f>'Data Sheet '!E24</f>
        <v>62622</v>
      </c>
      <c r="G28" s="29">
        <f>'Data Sheet '!F24</f>
        <v>56154</v>
      </c>
      <c r="H28" s="29">
        <f>'Data Sheet '!G24</f>
        <v>63513</v>
      </c>
      <c r="I28" s="29">
        <f>'Data Sheet '!H24</f>
        <v>67369</v>
      </c>
      <c r="J28" s="29">
        <f>'Data Sheet '!I24</f>
        <v>77292</v>
      </c>
      <c r="K28" s="29">
        <f>'Data Sheet '!J24</f>
        <v>88760</v>
      </c>
      <c r="L28" s="29">
        <f>'Data Sheet '!K24</f>
        <v>104723</v>
      </c>
    </row>
    <row r="29" spans="2:14" outlineLevel="1">
      <c r="B29" s="11" t="s">
        <v>149</v>
      </c>
      <c r="C29" s="9">
        <f t="shared" ref="C29:L29" si="5">C28/C12</f>
        <v>6.0930272343841504E-2</v>
      </c>
      <c r="D29" s="9">
        <f t="shared" si="5"/>
        <v>7.4486404331372519E-2</v>
      </c>
      <c r="E29" s="9">
        <f t="shared" si="5"/>
        <v>8.8364825798777843E-2</v>
      </c>
      <c r="F29" s="9">
        <f t="shared" si="5"/>
        <v>0.1049509032494859</v>
      </c>
      <c r="G29" s="9">
        <f t="shared" si="5"/>
        <v>0.12042281158121151</v>
      </c>
      <c r="H29" s="9">
        <f t="shared" si="5"/>
        <v>9.1428629009620357E-2</v>
      </c>
      <c r="I29" s="9">
        <f t="shared" si="5"/>
        <v>7.6870501462809049E-2</v>
      </c>
      <c r="J29" s="9">
        <f t="shared" si="5"/>
        <v>8.5971607524017252E-2</v>
      </c>
      <c r="K29" s="9">
        <f t="shared" si="5"/>
        <v>9.2187532456741661E-2</v>
      </c>
      <c r="L29" s="9">
        <f t="shared" si="5"/>
        <v>9.9190172194964857E-2</v>
      </c>
    </row>
    <row r="30" spans="2:14" outlineLevel="1">
      <c r="B30" s="11"/>
      <c r="C30" s="9"/>
      <c r="D30" s="9"/>
      <c r="E30" s="9"/>
      <c r="F30" s="9"/>
      <c r="G30" s="9"/>
      <c r="H30" s="9"/>
      <c r="I30" s="9"/>
      <c r="J30" s="9"/>
      <c r="K30" s="9"/>
      <c r="L30" s="9"/>
      <c r="N30" s="16"/>
    </row>
    <row r="31" spans="2:14" outlineLevel="1">
      <c r="B31" s="15" t="str">
        <f>'Data Sheet '!A26</f>
        <v>Other Income</v>
      </c>
      <c r="C31" s="29">
        <f>'Data Sheet '!B26</f>
        <v>9222</v>
      </c>
      <c r="D31" s="29">
        <f>'Data Sheet '!C26</f>
        <v>9869</v>
      </c>
      <c r="E31" s="29">
        <f>'Data Sheet '!D26</f>
        <v>8406</v>
      </c>
      <c r="F31" s="29">
        <f>'Data Sheet '!E26</f>
        <v>8570</v>
      </c>
      <c r="G31" s="29">
        <f>'Data Sheet '!F26</f>
        <v>22432</v>
      </c>
      <c r="H31" s="29">
        <f>'Data Sheet '!G26</f>
        <v>19600</v>
      </c>
      <c r="I31" s="29">
        <f>'Data Sheet '!H26</f>
        <v>12020</v>
      </c>
      <c r="J31" s="29">
        <f>'Data Sheet '!I26</f>
        <v>15792</v>
      </c>
      <c r="K31" s="29">
        <f>'Data Sheet '!J26</f>
        <v>17824</v>
      </c>
      <c r="L31" s="29">
        <f>'Data Sheet '!K26</f>
        <v>28846</v>
      </c>
      <c r="N31" s="32"/>
    </row>
    <row r="32" spans="2:14" outlineLevel="1">
      <c r="B32" s="11" t="s">
        <v>150</v>
      </c>
      <c r="C32" s="10">
        <f>C31/C12</f>
        <v>3.0340117254584575E-2</v>
      </c>
      <c r="D32" s="10">
        <f t="shared" ref="D32:L32" si="6">D31/D12</f>
        <v>2.5251840347164829E-2</v>
      </c>
      <c r="E32" s="10">
        <f t="shared" si="6"/>
        <v>1.4790520413064783E-2</v>
      </c>
      <c r="F32" s="10">
        <f t="shared" si="6"/>
        <v>1.436283160627406E-2</v>
      </c>
      <c r="G32" s="10">
        <f t="shared" si="6"/>
        <v>4.8105647138044251E-2</v>
      </c>
      <c r="H32" s="10">
        <f t="shared" si="6"/>
        <v>2.8214713973337094E-2</v>
      </c>
      <c r="I32" s="10">
        <f t="shared" si="6"/>
        <v>1.3715261137659232E-2</v>
      </c>
      <c r="J32" s="10">
        <f t="shared" si="6"/>
        <v>1.7565383558703108E-2</v>
      </c>
      <c r="K32" s="10">
        <f t="shared" si="6"/>
        <v>1.8512286824120813E-2</v>
      </c>
      <c r="L32" s="10">
        <f t="shared" si="6"/>
        <v>2.7321979957945785E-2</v>
      </c>
    </row>
    <row r="33" spans="2:14" outlineLevel="1"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2:14" outlineLevel="1">
      <c r="B34" s="15" t="str">
        <f>'Data Sheet '!A25</f>
        <v>Other Expenses</v>
      </c>
      <c r="C34" s="29">
        <f>'Data Sheet '!B25</f>
        <v>-2721</v>
      </c>
      <c r="D34" s="29">
        <f>'Data Sheet '!C25</f>
        <v>-3852</v>
      </c>
      <c r="E34" s="29">
        <f>'Data Sheet '!D25</f>
        <v>-2336</v>
      </c>
      <c r="F34" s="29">
        <f>'Data Sheet '!E25</f>
        <v>-1056</v>
      </c>
      <c r="G34" s="29">
        <f>'Data Sheet '!F25</f>
        <v>944</v>
      </c>
      <c r="H34" s="29">
        <f>'Data Sheet '!G25</f>
        <v>753</v>
      </c>
      <c r="I34" s="29">
        <f>'Data Sheet '!H25</f>
        <v>8634</v>
      </c>
      <c r="J34" s="29">
        <f>'Data Sheet '!I25</f>
        <v>7816</v>
      </c>
      <c r="K34" s="29">
        <f>'Data Sheet '!J25</f>
        <v>8033</v>
      </c>
      <c r="L34" s="29">
        <f>'Data Sheet '!K25</f>
        <v>9780</v>
      </c>
    </row>
    <row r="35" spans="2:14" outlineLevel="1">
      <c r="B35" s="13" t="s">
        <v>151</v>
      </c>
      <c r="C35" s="9">
        <f>C34/C12</f>
        <v>-8.9520124755719608E-3</v>
      </c>
      <c r="D35" s="9">
        <f t="shared" ref="D35:L35" si="7">D34/D12</f>
        <v>-9.8561241278020996E-3</v>
      </c>
      <c r="E35" s="9">
        <f t="shared" si="7"/>
        <v>-4.1102374119580459E-3</v>
      </c>
      <c r="F35" s="9">
        <f t="shared" si="7"/>
        <v>-1.7697958198629414E-3</v>
      </c>
      <c r="G35" s="9">
        <f t="shared" si="7"/>
        <v>2.0244173902600649E-3</v>
      </c>
      <c r="H35" s="9">
        <f t="shared" si="7"/>
        <v>1.0839632460164712E-3</v>
      </c>
      <c r="I35" s="9">
        <f t="shared" si="7"/>
        <v>9.8517108704284373E-3</v>
      </c>
      <c r="J35" s="9">
        <f t="shared" si="7"/>
        <v>8.6937080733804125E-3</v>
      </c>
      <c r="K35" s="9">
        <f t="shared" si="7"/>
        <v>8.3432001827963686E-3</v>
      </c>
      <c r="L35" s="9">
        <f t="shared" si="7"/>
        <v>9.2632934891738808E-3</v>
      </c>
    </row>
    <row r="36" spans="2:14" outlineLevel="1">
      <c r="B36" s="13"/>
      <c r="C36" s="9"/>
      <c r="D36" s="9"/>
      <c r="E36" s="9"/>
      <c r="F36" s="9"/>
      <c r="G36" s="9"/>
      <c r="H36" s="9"/>
      <c r="I36" s="9"/>
      <c r="J36" s="9"/>
      <c r="K36" s="9"/>
      <c r="L36" s="9"/>
      <c r="N36" s="44"/>
    </row>
    <row r="37" spans="2:14" outlineLevel="1">
      <c r="B37" s="12" t="s">
        <v>60</v>
      </c>
      <c r="C37" s="106">
        <f>IFERROR(SUM(C25,C31)-C28-C34,0)</f>
        <v>55529</v>
      </c>
      <c r="D37" s="106">
        <f t="shared" ref="D37:L37" si="8">IFERROR(SUM(D25,D31)-D28-D34,0)</f>
        <v>74184</v>
      </c>
      <c r="E37" s="106">
        <f t="shared" si="8"/>
        <v>92656</v>
      </c>
      <c r="F37" s="106">
        <f t="shared" si="8"/>
        <v>97836</v>
      </c>
      <c r="G37" s="106">
        <f t="shared" si="8"/>
        <v>103222</v>
      </c>
      <c r="H37" s="106">
        <f t="shared" si="8"/>
        <v>128181</v>
      </c>
      <c r="I37" s="106">
        <f t="shared" si="8"/>
        <v>154338</v>
      </c>
      <c r="J37" s="106">
        <f t="shared" si="8"/>
        <v>178290</v>
      </c>
      <c r="K37" s="106">
        <f t="shared" si="8"/>
        <v>183422</v>
      </c>
      <c r="L37" s="106">
        <f t="shared" si="8"/>
        <v>207911</v>
      </c>
    </row>
    <row r="38" spans="2:14" outlineLevel="1">
      <c r="B38" s="13" t="s">
        <v>62</v>
      </c>
      <c r="C38" s="9">
        <f t="shared" ref="C38:L38" si="9">C37/C12</f>
        <v>0.18268882791475025</v>
      </c>
      <c r="D38" s="9">
        <f t="shared" si="9"/>
        <v>0.18981482666066224</v>
      </c>
      <c r="E38" s="9">
        <f t="shared" si="9"/>
        <v>0.16303003323732224</v>
      </c>
      <c r="F38" s="9">
        <f t="shared" si="9"/>
        <v>0.16396756044707456</v>
      </c>
      <c r="G38" s="9">
        <f t="shared" si="9"/>
        <v>0.22136060578116992</v>
      </c>
      <c r="H38" s="9">
        <f t="shared" si="9"/>
        <v>0.18451991080695521</v>
      </c>
      <c r="I38" s="9">
        <f t="shared" si="9"/>
        <v>0.1761053222515849</v>
      </c>
      <c r="J38" s="9">
        <f t="shared" si="9"/>
        <v>0.19831131171993269</v>
      </c>
      <c r="K38" s="9">
        <f t="shared" si="9"/>
        <v>0.19050497496936084</v>
      </c>
      <c r="L38" s="9">
        <f t="shared" si="9"/>
        <v>0.1969264430089602</v>
      </c>
    </row>
    <row r="39" spans="2:14" outlineLevel="1"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2:14" outlineLevel="1">
      <c r="B40" s="15" t="str">
        <f>'Data Sheet '!A27</f>
        <v>Depreciation</v>
      </c>
      <c r="C40" s="29">
        <f>'Data Sheet '!B27</f>
        <v>11646</v>
      </c>
      <c r="D40" s="29">
        <f>'Data Sheet '!C27</f>
        <v>16706</v>
      </c>
      <c r="E40" s="29">
        <f>'Data Sheet '!D27</f>
        <v>20934</v>
      </c>
      <c r="F40" s="29">
        <f>'Data Sheet '!E27</f>
        <v>22203</v>
      </c>
      <c r="G40" s="29">
        <f>'Data Sheet '!F27</f>
        <v>26572</v>
      </c>
      <c r="H40" s="29">
        <f>'Data Sheet '!G27</f>
        <v>29782</v>
      </c>
      <c r="I40" s="29">
        <f>'Data Sheet '!H27</f>
        <v>40303</v>
      </c>
      <c r="J40" s="29">
        <f>'Data Sheet '!I27</f>
        <v>50832</v>
      </c>
      <c r="K40" s="29">
        <f>'Data Sheet '!J27</f>
        <v>53136</v>
      </c>
      <c r="L40" s="29">
        <f>'Data Sheet '!K27</f>
        <v>57688</v>
      </c>
    </row>
    <row r="41" spans="2:14" outlineLevel="1">
      <c r="B41" s="13" t="s">
        <v>112</v>
      </c>
      <c r="C41" s="9">
        <f t="shared" ref="C41:L41" si="10">C40/C12</f>
        <v>3.8315008192029057E-2</v>
      </c>
      <c r="D41" s="9">
        <f t="shared" si="10"/>
        <v>4.2745693063100179E-2</v>
      </c>
      <c r="E41" s="9">
        <f t="shared" si="10"/>
        <v>3.6833779958017863E-2</v>
      </c>
      <c r="F41" s="9">
        <f t="shared" si="10"/>
        <v>3.721096267842508E-2</v>
      </c>
      <c r="G41" s="9">
        <f t="shared" si="10"/>
        <v>5.6983918319905125E-2</v>
      </c>
      <c r="H41" s="9">
        <f t="shared" si="10"/>
        <v>4.2871969977241089E-2</v>
      </c>
      <c r="I41" s="9">
        <f t="shared" si="10"/>
        <v>4.5987202132369384E-2</v>
      </c>
      <c r="J41" s="9">
        <f t="shared" si="10"/>
        <v>5.6540246774062587E-2</v>
      </c>
      <c r="K41" s="9">
        <f t="shared" si="10"/>
        <v>5.5187885586090855E-2</v>
      </c>
      <c r="L41" s="9">
        <f t="shared" si="10"/>
        <v>5.4640171247797839E-2</v>
      </c>
      <c r="N41" s="43"/>
    </row>
    <row r="42" spans="2:14" outlineLevel="1">
      <c r="B42" s="13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2:14" outlineLevel="1">
      <c r="B43" s="15" t="str">
        <f>'Data Sheet '!A28</f>
        <v>Interest</v>
      </c>
      <c r="C43" s="29">
        <f>'Data Sheet '!B28</f>
        <v>3849</v>
      </c>
      <c r="D43" s="29">
        <f>'Data Sheet '!C28</f>
        <v>8052</v>
      </c>
      <c r="E43" s="29">
        <f>'Data Sheet '!D28</f>
        <v>16495</v>
      </c>
      <c r="F43" s="29">
        <f>'Data Sheet '!E28</f>
        <v>22027</v>
      </c>
      <c r="G43" s="29">
        <f>'Data Sheet '!F28</f>
        <v>21189</v>
      </c>
      <c r="H43" s="29">
        <f>'Data Sheet '!G28</f>
        <v>14584</v>
      </c>
      <c r="I43" s="29">
        <f>'Data Sheet '!H28</f>
        <v>19571</v>
      </c>
      <c r="J43" s="29">
        <f>'Data Sheet '!I28</f>
        <v>23118</v>
      </c>
      <c r="K43" s="29">
        <f>'Data Sheet '!J28</f>
        <v>24269</v>
      </c>
      <c r="L43" s="29">
        <f>'Data Sheet '!K28</f>
        <v>27061</v>
      </c>
    </row>
    <row r="44" spans="2:14" outlineLevel="1">
      <c r="B44" s="13" t="s">
        <v>152</v>
      </c>
      <c r="C44" s="9">
        <f t="shared" ref="C44:L44" si="11">C43/C12</f>
        <v>1.2663100337551077E-2</v>
      </c>
      <c r="D44" s="9">
        <f t="shared" si="11"/>
        <v>2.0602676915125261E-2</v>
      </c>
      <c r="E44" s="9">
        <f t="shared" si="11"/>
        <v>2.902327316363355E-2</v>
      </c>
      <c r="F44" s="9">
        <f t="shared" si="11"/>
        <v>3.6915996708447925E-2</v>
      </c>
      <c r="G44" s="9">
        <f t="shared" si="11"/>
        <v>4.5440021273538675E-2</v>
      </c>
      <c r="H44" s="9">
        <f t="shared" si="11"/>
        <v>2.0994050438119805E-2</v>
      </c>
      <c r="I44" s="9">
        <f t="shared" si="11"/>
        <v>2.2331229261657971E-2</v>
      </c>
      <c r="J44" s="9">
        <f t="shared" si="11"/>
        <v>2.5714066433010285E-2</v>
      </c>
      <c r="K44" s="9">
        <f t="shared" si="11"/>
        <v>2.5206165222990799E-2</v>
      </c>
      <c r="L44" s="9">
        <f t="shared" si="11"/>
        <v>2.5631286821118034E-2</v>
      </c>
    </row>
    <row r="45" spans="2:14" outlineLevel="1">
      <c r="B45" s="15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2:14" outlineLevel="1">
      <c r="B46" s="12" t="s">
        <v>63</v>
      </c>
      <c r="C46" s="106">
        <f>IFERROR(C37-(SUM(C40,C43)),0)</f>
        <v>40034</v>
      </c>
      <c r="D46" s="106">
        <f t="shared" ref="D46:L46" si="12">IFERROR(D37-(SUM(D40,D43)),0)</f>
        <v>49426</v>
      </c>
      <c r="E46" s="106">
        <f t="shared" si="12"/>
        <v>55227</v>
      </c>
      <c r="F46" s="106">
        <f t="shared" si="12"/>
        <v>53606</v>
      </c>
      <c r="G46" s="106">
        <f t="shared" si="12"/>
        <v>55461</v>
      </c>
      <c r="H46" s="106">
        <f t="shared" si="12"/>
        <v>83815</v>
      </c>
      <c r="I46" s="106">
        <f t="shared" si="12"/>
        <v>94464</v>
      </c>
      <c r="J46" s="106">
        <f t="shared" si="12"/>
        <v>104340</v>
      </c>
      <c r="K46" s="106">
        <f t="shared" si="12"/>
        <v>106017</v>
      </c>
      <c r="L46" s="106">
        <f t="shared" si="12"/>
        <v>123162</v>
      </c>
    </row>
    <row r="47" spans="2:14" outlineLevel="1">
      <c r="B47" s="13" t="s">
        <v>153</v>
      </c>
      <c r="C47" s="9">
        <f>C46/C12</f>
        <v>0.13171071938517012</v>
      </c>
      <c r="D47" s="9">
        <f t="shared" ref="D47:L47" si="13">D46/D12</f>
        <v>0.12646645668243681</v>
      </c>
      <c r="E47" s="9">
        <f t="shared" si="13"/>
        <v>9.7172980115670812E-2</v>
      </c>
      <c r="F47" s="9">
        <f t="shared" si="13"/>
        <v>8.9840601060201544E-2</v>
      </c>
      <c r="G47" s="9">
        <f t="shared" si="13"/>
        <v>0.11893666618772611</v>
      </c>
      <c r="H47" s="9">
        <f t="shared" si="13"/>
        <v>0.12065389039159431</v>
      </c>
      <c r="I47" s="9">
        <f t="shared" si="13"/>
        <v>0.10778689085755755</v>
      </c>
      <c r="J47" s="9">
        <f t="shared" si="13"/>
        <v>0.11605699851285982</v>
      </c>
      <c r="K47" s="9">
        <f t="shared" si="13"/>
        <v>0.11011092416027918</v>
      </c>
      <c r="L47" s="9">
        <f t="shared" si="13"/>
        <v>0.11665498494004432</v>
      </c>
    </row>
    <row r="48" spans="2:14" outlineLevel="1"/>
    <row r="49" spans="2:12" outlineLevel="1">
      <c r="B49" s="15" t="str">
        <f>'Data Sheet '!A30</f>
        <v>Tax</v>
      </c>
      <c r="C49" s="16">
        <f>IFERROR('Data Sheet '!B30,0)</f>
        <v>10201</v>
      </c>
      <c r="D49" s="16">
        <f>IFERROR('Data Sheet '!C30,0)</f>
        <v>13346</v>
      </c>
      <c r="E49" s="16">
        <f>IFERROR('Data Sheet '!D30,0)</f>
        <v>15390</v>
      </c>
      <c r="F49" s="16">
        <f>IFERROR('Data Sheet '!E30,0)</f>
        <v>13726</v>
      </c>
      <c r="G49" s="16">
        <f>IFERROR('Data Sheet '!F30,0)</f>
        <v>1722</v>
      </c>
      <c r="H49" s="16">
        <f>IFERROR('Data Sheet '!G30,0)</f>
        <v>15970</v>
      </c>
      <c r="I49" s="16">
        <f>IFERROR('Data Sheet '!H30,0)</f>
        <v>20376</v>
      </c>
      <c r="J49" s="16">
        <f>IFERROR('Data Sheet '!I30,0)</f>
        <v>25707</v>
      </c>
      <c r="K49" s="16">
        <f>IFERROR('Data Sheet '!J30,0)</f>
        <v>25230</v>
      </c>
      <c r="L49" s="16">
        <f>IFERROR('Data Sheet '!K30,0)</f>
        <v>27552</v>
      </c>
    </row>
    <row r="50" spans="2:12" outlineLevel="1">
      <c r="B50" s="13" t="s">
        <v>64</v>
      </c>
      <c r="C50" s="9">
        <f>C49/C46</f>
        <v>0.25480841284907829</v>
      </c>
      <c r="D50" s="9">
        <f t="shared" ref="D50:L50" si="14">D49/D46</f>
        <v>0.27001982762109011</v>
      </c>
      <c r="E50" s="9">
        <f t="shared" si="14"/>
        <v>0.27866804280514967</v>
      </c>
      <c r="F50" s="9">
        <f t="shared" si="14"/>
        <v>0.25605342685520277</v>
      </c>
      <c r="G50" s="9">
        <f t="shared" si="14"/>
        <v>3.104884513441878E-2</v>
      </c>
      <c r="H50" s="9">
        <f t="shared" si="14"/>
        <v>0.19053868639265048</v>
      </c>
      <c r="I50" s="9">
        <f t="shared" si="14"/>
        <v>0.21570121951219512</v>
      </c>
      <c r="J50" s="9">
        <f t="shared" si="14"/>
        <v>0.24637722829212191</v>
      </c>
      <c r="K50" s="9">
        <f t="shared" si="14"/>
        <v>0.23798070120829679</v>
      </c>
      <c r="L50" s="9">
        <f t="shared" si="14"/>
        <v>0.22370536366736493</v>
      </c>
    </row>
    <row r="51" spans="2:12" outlineLevel="1"/>
    <row r="52" spans="2:12" outlineLevel="1">
      <c r="B52" s="12" t="s">
        <v>65</v>
      </c>
      <c r="C52" s="106">
        <f>IFERROR(C46-C49,0)</f>
        <v>29833</v>
      </c>
      <c r="D52" s="106">
        <f t="shared" ref="D52:L52" si="15">IFERROR(D46-D49,0)</f>
        <v>36080</v>
      </c>
      <c r="E52" s="106">
        <f t="shared" si="15"/>
        <v>39837</v>
      </c>
      <c r="F52" s="106">
        <f t="shared" si="15"/>
        <v>39880</v>
      </c>
      <c r="G52" s="106">
        <f t="shared" si="15"/>
        <v>53739</v>
      </c>
      <c r="H52" s="106">
        <f t="shared" si="15"/>
        <v>67845</v>
      </c>
      <c r="I52" s="106">
        <f t="shared" si="15"/>
        <v>74088</v>
      </c>
      <c r="J52" s="106">
        <f t="shared" si="15"/>
        <v>78633</v>
      </c>
      <c r="K52" s="106">
        <f t="shared" si="15"/>
        <v>80787</v>
      </c>
      <c r="L52" s="106">
        <f t="shared" si="15"/>
        <v>95610</v>
      </c>
    </row>
    <row r="53" spans="2:12" outlineLevel="1">
      <c r="B53" s="13" t="s">
        <v>66</v>
      </c>
      <c r="C53" s="9">
        <f>C52/C12</f>
        <v>9.8149720023424591E-2</v>
      </c>
      <c r="D53" s="9">
        <f t="shared" ref="D53:L53" si="16">D52/D12</f>
        <v>9.2318005849195153E-2</v>
      </c>
      <c r="E53" s="9">
        <f t="shared" si="16"/>
        <v>7.0093975933293098E-2</v>
      </c>
      <c r="F53" s="9">
        <f t="shared" si="16"/>
        <v>6.6836607288005778E-2</v>
      </c>
      <c r="G53" s="9">
        <f t="shared" si="16"/>
        <v>0.11524382005845935</v>
      </c>
      <c r="H53" s="9">
        <f t="shared" si="16"/>
        <v>9.7664656608217104E-2</v>
      </c>
      <c r="I53" s="9">
        <f t="shared" si="16"/>
        <v>8.4537127052154507E-2</v>
      </c>
      <c r="J53" s="9">
        <f t="shared" si="16"/>
        <v>8.7463196895358503E-2</v>
      </c>
      <c r="K53" s="9">
        <f t="shared" si="16"/>
        <v>8.3906649217922347E-2</v>
      </c>
      <c r="L53" s="9">
        <f t="shared" si="16"/>
        <v>9.0558639110420738E-2</v>
      </c>
    </row>
    <row r="54" spans="2:12" outlineLevel="1">
      <c r="B54" s="13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2:12" outlineLevel="1">
      <c r="B55" s="15" t="s">
        <v>67</v>
      </c>
      <c r="C55" s="29">
        <f>IFERROR('Data Sheet '!B94,0)</f>
        <v>1387.22</v>
      </c>
      <c r="D55" s="29">
        <f>IFERROR('Data Sheet '!C94,0)</f>
        <v>1351.39</v>
      </c>
      <c r="E55" s="29">
        <f>IFERROR('Data Sheet '!D94,0)</f>
        <v>1352.26</v>
      </c>
      <c r="F55" s="29">
        <f>IFERROR('Data Sheet '!E94,0)</f>
        <v>1352.37</v>
      </c>
      <c r="G55" s="29">
        <f>IFERROR('Data Sheet '!F94,0)</f>
        <v>1267.8900000000001</v>
      </c>
      <c r="H55" s="29">
        <f>IFERROR('Data Sheet '!G94,0)</f>
        <v>1352.98</v>
      </c>
      <c r="I55" s="29">
        <f>IFERROR('Data Sheet '!H94,0)</f>
        <v>1353.12</v>
      </c>
      <c r="J55" s="29">
        <f>IFERROR('Data Sheet '!I94,0)</f>
        <v>1353.14</v>
      </c>
      <c r="K55" s="29">
        <f>IFERROR('Data Sheet '!J94,0)</f>
        <v>1353.24</v>
      </c>
      <c r="L55" s="29">
        <f>IFERROR('Data Sheet '!K94,0)</f>
        <v>1353.25</v>
      </c>
    </row>
    <row r="56" spans="2:12" outlineLevel="1">
      <c r="B56" s="13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2:12" outlineLevel="1">
      <c r="B57" s="34" t="s">
        <v>68</v>
      </c>
      <c r="C57" s="35">
        <f>C52/C55</f>
        <v>21.50560113031819</v>
      </c>
      <c r="D57" s="35">
        <f t="shared" ref="D57:L57" si="17">D52/D55</f>
        <v>26.698436424718253</v>
      </c>
      <c r="E57" s="35">
        <f t="shared" si="17"/>
        <v>29.459571384201265</v>
      </c>
      <c r="F57" s="35">
        <f t="shared" si="17"/>
        <v>29.488971213499266</v>
      </c>
      <c r="G57" s="35">
        <f t="shared" si="17"/>
        <v>42.384591723256747</v>
      </c>
      <c r="H57" s="35">
        <f t="shared" si="17"/>
        <v>50.144865408210023</v>
      </c>
      <c r="I57" s="35">
        <f t="shared" si="17"/>
        <v>54.753458673288407</v>
      </c>
      <c r="J57" s="35">
        <f t="shared" si="17"/>
        <v>58.111503613816751</v>
      </c>
      <c r="K57" s="35">
        <f t="shared" si="17"/>
        <v>59.698944754810675</v>
      </c>
      <c r="L57" s="35">
        <f t="shared" si="17"/>
        <v>70.652133752078328</v>
      </c>
    </row>
    <row r="58" spans="2:12" outlineLevel="1">
      <c r="B58" s="13" t="s">
        <v>154</v>
      </c>
      <c r="D58" s="9">
        <f>D57/C57-1</f>
        <v>0.241464317269388</v>
      </c>
      <c r="E58" s="9">
        <f t="shared" ref="E58:L58" si="18">E57/D57-1</f>
        <v>0.10341935069001518</v>
      </c>
      <c r="F58" s="9">
        <f t="shared" si="18"/>
        <v>9.979720653290336E-4</v>
      </c>
      <c r="G58" s="9">
        <f t="shared" si="18"/>
        <v>0.43730316722118157</v>
      </c>
      <c r="H58" s="9">
        <f t="shared" si="18"/>
        <v>0.18309185884395718</v>
      </c>
      <c r="I58" s="9">
        <f t="shared" si="18"/>
        <v>9.1905586495478753E-2</v>
      </c>
      <c r="J58" s="9">
        <f t="shared" si="18"/>
        <v>6.1330279801421472E-2</v>
      </c>
      <c r="K58" s="9">
        <f t="shared" si="18"/>
        <v>2.731715826083847E-2</v>
      </c>
      <c r="L58" s="9">
        <f t="shared" si="18"/>
        <v>0.18347374551180851</v>
      </c>
    </row>
    <row r="59" spans="2:12" outlineLevel="1"/>
    <row r="60" spans="2:12" outlineLevel="1">
      <c r="B60" s="22" t="s">
        <v>69</v>
      </c>
      <c r="C60" s="35">
        <f t="shared" ref="C60:L60" si="19">IFERROR(C63/C55,0)</f>
        <v>2.346347371000995</v>
      </c>
      <c r="D60" s="35">
        <f t="shared" si="19"/>
        <v>2.6292928022258559</v>
      </c>
      <c r="E60" s="35">
        <f t="shared" si="19"/>
        <v>2.8484906748702175</v>
      </c>
      <c r="F60" s="35">
        <f t="shared" si="19"/>
        <v>3.0467623505401633</v>
      </c>
      <c r="G60" s="35">
        <f t="shared" si="19"/>
        <v>3.5582739827587564</v>
      </c>
      <c r="H60" s="35">
        <f t="shared" si="19"/>
        <v>4.0000591287380445</v>
      </c>
      <c r="I60" s="35">
        <f t="shared" si="19"/>
        <v>4.5002660517914155</v>
      </c>
      <c r="J60" s="35">
        <f t="shared" si="19"/>
        <v>5.0002217065492109</v>
      </c>
      <c r="K60" s="35">
        <f t="shared" si="19"/>
        <v>5.4998374272117294</v>
      </c>
      <c r="L60" s="35">
        <f t="shared" si="19"/>
        <v>5.9997783114723813</v>
      </c>
    </row>
    <row r="61" spans="2:12" outlineLevel="1">
      <c r="B61" s="13" t="s">
        <v>71</v>
      </c>
      <c r="C61" s="9">
        <f>C60/C57</f>
        <v>0.10910401233533336</v>
      </c>
      <c r="D61" s="9">
        <f t="shared" ref="D61:L61" si="20">D60/D57</f>
        <v>9.8481152993348101E-2</v>
      </c>
      <c r="E61" s="9">
        <f t="shared" si="20"/>
        <v>9.6691517935587515E-2</v>
      </c>
      <c r="F61" s="9">
        <f t="shared" si="20"/>
        <v>0.10331870611835507</v>
      </c>
      <c r="G61" s="9">
        <f t="shared" si="20"/>
        <v>8.3952064608571048E-2</v>
      </c>
      <c r="H61" s="9">
        <f t="shared" si="20"/>
        <v>7.9770064116736678E-2</v>
      </c>
      <c r="I61" s="9">
        <f t="shared" si="20"/>
        <v>8.2191448007774531E-2</v>
      </c>
      <c r="J61" s="9">
        <f t="shared" si="20"/>
        <v>8.6045299047473697E-2</v>
      </c>
      <c r="K61" s="9">
        <f t="shared" si="20"/>
        <v>9.2126208424622782E-2</v>
      </c>
      <c r="L61" s="9">
        <f t="shared" si="20"/>
        <v>8.4919987449011608E-2</v>
      </c>
    </row>
    <row r="62" spans="2:12" outlineLevel="1">
      <c r="B62" s="13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2:12" outlineLevel="1">
      <c r="B63" s="15" t="s">
        <v>72</v>
      </c>
      <c r="C63" s="29">
        <f>IFERROR('Data Sheet '!B32,0)</f>
        <v>3254.9</v>
      </c>
      <c r="D63" s="29">
        <f>IFERROR('Data Sheet '!C32,0)</f>
        <v>3553.2</v>
      </c>
      <c r="E63" s="29">
        <f>IFERROR('Data Sheet '!D32,0)</f>
        <v>3851.9</v>
      </c>
      <c r="F63" s="29">
        <f>IFERROR('Data Sheet '!E32,0)</f>
        <v>4120.3500000000004</v>
      </c>
      <c r="G63" s="29">
        <f>IFERROR('Data Sheet '!F32,0)</f>
        <v>4511.5</v>
      </c>
      <c r="H63" s="29">
        <f>IFERROR('Data Sheet '!G32,0)</f>
        <v>5412</v>
      </c>
      <c r="I63" s="29">
        <f>IFERROR('Data Sheet '!H32,0)</f>
        <v>6089.4</v>
      </c>
      <c r="J63" s="29">
        <f>IFERROR('Data Sheet '!I32,0)</f>
        <v>6766</v>
      </c>
      <c r="K63" s="29">
        <f>IFERROR('Data Sheet '!J32,0)</f>
        <v>7442.6</v>
      </c>
      <c r="L63" s="29">
        <f>IFERROR('Data Sheet '!K32,0)</f>
        <v>8119.2</v>
      </c>
    </row>
    <row r="64" spans="2:12" outlineLevel="1"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1:12" outlineLevel="1">
      <c r="B65" s="22" t="s">
        <v>70</v>
      </c>
      <c r="C65" s="33">
        <f>IFERROR(IF(C57&gt;C60,1-C61,0),0)</f>
        <v>0.8908959876646666</v>
      </c>
      <c r="D65" s="33">
        <f t="shared" ref="D65:L65" si="21">IFERROR(IF(D57&gt;D60,1-D61,0),0)</f>
        <v>0.90151884700665186</v>
      </c>
      <c r="E65" s="33">
        <f t="shared" si="21"/>
        <v>0.9033084820644125</v>
      </c>
      <c r="F65" s="33">
        <f t="shared" si="21"/>
        <v>0.89668129388164497</v>
      </c>
      <c r="G65" s="33">
        <f t="shared" si="21"/>
        <v>0.91604793539142892</v>
      </c>
      <c r="H65" s="33">
        <f t="shared" si="21"/>
        <v>0.92022993588326329</v>
      </c>
      <c r="I65" s="33">
        <f t="shared" si="21"/>
        <v>0.91780855199222544</v>
      </c>
      <c r="J65" s="33">
        <f t="shared" si="21"/>
        <v>0.91395470095252629</v>
      </c>
      <c r="K65" s="33">
        <f t="shared" si="21"/>
        <v>0.90787379157537718</v>
      </c>
      <c r="L65" s="33">
        <f t="shared" si="21"/>
        <v>0.91508001255098836</v>
      </c>
    </row>
    <row r="67" spans="1:12">
      <c r="A67" s="22" t="s">
        <v>56</v>
      </c>
      <c r="B67" s="21" t="s">
        <v>73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 spans="1:12" outlineLevel="1">
      <c r="B68" s="17" t="s">
        <v>31</v>
      </c>
      <c r="C68" s="24">
        <f>IFERROR('Data Sheet '!B58,0)</f>
        <v>2959</v>
      </c>
      <c r="D68" s="24">
        <f>IFERROR('Data Sheet '!C58,0)</f>
        <v>5922</v>
      </c>
      <c r="E68" s="24">
        <f>IFERROR('Data Sheet '!D58,0)</f>
        <v>5926</v>
      </c>
      <c r="F68" s="24">
        <f>IFERROR('Data Sheet '!E58,0)</f>
        <v>6339</v>
      </c>
      <c r="G68" s="24">
        <f>IFERROR('Data Sheet '!F58,0)</f>
        <v>6445</v>
      </c>
      <c r="H68" s="24">
        <f>IFERROR('Data Sheet '!G58,0)</f>
        <v>6765</v>
      </c>
      <c r="I68" s="24">
        <f>IFERROR('Data Sheet '!H58,0)</f>
        <v>6766</v>
      </c>
      <c r="J68" s="24">
        <f>IFERROR('Data Sheet '!I58,0)</f>
        <v>6766</v>
      </c>
      <c r="K68" s="24">
        <f>IFERROR('Data Sheet '!J58,0)</f>
        <v>13532</v>
      </c>
      <c r="L68" s="24">
        <f>IFERROR('Data Sheet '!K58,0)</f>
        <v>13532</v>
      </c>
    </row>
    <row r="69" spans="1:12" outlineLevel="1">
      <c r="B69" s="15" t="s">
        <v>32</v>
      </c>
      <c r="C69" s="29">
        <f>IFERROR('Data Sheet '!B59,0)</f>
        <v>260750</v>
      </c>
      <c r="D69" s="29">
        <f>IFERROR('Data Sheet '!C59,0)</f>
        <v>287584</v>
      </c>
      <c r="E69" s="29">
        <f>IFERROR('Data Sheet '!D59,0)</f>
        <v>381186</v>
      </c>
      <c r="F69" s="29">
        <f>IFERROR('Data Sheet '!E59,0)</f>
        <v>442827</v>
      </c>
      <c r="G69" s="29">
        <f>IFERROR('Data Sheet '!F59,0)</f>
        <v>693727</v>
      </c>
      <c r="H69" s="29">
        <f>IFERROR('Data Sheet '!G59,0)</f>
        <v>772720</v>
      </c>
      <c r="I69" s="29">
        <f>IFERROR('Data Sheet '!H59,0)</f>
        <v>709106</v>
      </c>
      <c r="J69" s="29">
        <f>IFERROR('Data Sheet '!I59,0)</f>
        <v>786715</v>
      </c>
      <c r="K69" s="29">
        <f>IFERROR('Data Sheet '!J59,0)</f>
        <v>829668</v>
      </c>
      <c r="L69" s="29">
        <f>IFERROR('Data Sheet '!K59,0)</f>
        <v>890498</v>
      </c>
    </row>
    <row r="70" spans="1:12" outlineLevel="1">
      <c r="B70" s="15" t="s">
        <v>33</v>
      </c>
      <c r="C70" s="29">
        <f>IFERROR('Data Sheet '!B60,0)</f>
        <v>217475</v>
      </c>
      <c r="D70" s="29">
        <f>IFERROR('Data Sheet '!C60,0)</f>
        <v>239843</v>
      </c>
      <c r="E70" s="29">
        <f>IFERROR('Data Sheet '!D60,0)</f>
        <v>307714</v>
      </c>
      <c r="F70" s="29">
        <f>IFERROR('Data Sheet '!E60,0)</f>
        <v>355133</v>
      </c>
      <c r="G70" s="29">
        <f>IFERROR('Data Sheet '!F60,0)</f>
        <v>278962</v>
      </c>
      <c r="H70" s="29">
        <f>IFERROR('Data Sheet '!G60,0)</f>
        <v>319158</v>
      </c>
      <c r="I70" s="29">
        <f>IFERROR('Data Sheet '!H60,0)</f>
        <v>451664</v>
      </c>
      <c r="J70" s="29">
        <f>IFERROR('Data Sheet '!I60,0)</f>
        <v>350719</v>
      </c>
      <c r="K70" s="29">
        <f>IFERROR('Data Sheet '!J60,0)</f>
        <v>374313</v>
      </c>
      <c r="L70" s="29">
        <f>IFERROR('Data Sheet '!K60,0)</f>
        <v>402962</v>
      </c>
    </row>
    <row r="71" spans="1:12" outlineLevel="1">
      <c r="B71" s="15" t="s">
        <v>34</v>
      </c>
      <c r="C71" s="29">
        <f>IFERROR('Data Sheet '!B61,0)</f>
        <v>225618</v>
      </c>
      <c r="D71" s="29">
        <f>IFERROR('Data Sheet '!C61,0)</f>
        <v>277924</v>
      </c>
      <c r="E71" s="29">
        <f>IFERROR('Data Sheet '!D61,0)</f>
        <v>302804</v>
      </c>
      <c r="F71" s="29">
        <f>IFERROR('Data Sheet '!E61,0)</f>
        <v>358716</v>
      </c>
      <c r="G71" s="29">
        <f>IFERROR('Data Sheet '!F61,0)</f>
        <v>340931</v>
      </c>
      <c r="H71" s="29">
        <f>IFERROR('Data Sheet '!G61,0)</f>
        <v>399979</v>
      </c>
      <c r="I71" s="29">
        <f>IFERROR('Data Sheet '!H61,0)</f>
        <v>438346</v>
      </c>
      <c r="J71" s="29">
        <f>IFERROR('Data Sheet '!I61,0)</f>
        <v>610848</v>
      </c>
      <c r="K71" s="29">
        <f>IFERROR('Data Sheet '!J61,0)</f>
        <v>732200</v>
      </c>
      <c r="L71" s="29">
        <f>IFERROR('Data Sheet '!K61,0)</f>
        <v>870554</v>
      </c>
    </row>
    <row r="72" spans="1:12" outlineLevel="1">
      <c r="B72" s="41" t="s">
        <v>74</v>
      </c>
      <c r="C72" s="42">
        <f t="shared" ref="C72:L72" si="22">SUM(C68:C71)</f>
        <v>706802</v>
      </c>
      <c r="D72" s="42">
        <f t="shared" si="22"/>
        <v>811273</v>
      </c>
      <c r="E72" s="42">
        <f t="shared" si="22"/>
        <v>997630</v>
      </c>
      <c r="F72" s="42">
        <f t="shared" si="22"/>
        <v>1163015</v>
      </c>
      <c r="G72" s="42">
        <f t="shared" si="22"/>
        <v>1320065</v>
      </c>
      <c r="H72" s="42">
        <f t="shared" si="22"/>
        <v>1498622</v>
      </c>
      <c r="I72" s="42">
        <f t="shared" si="22"/>
        <v>1605882</v>
      </c>
      <c r="J72" s="42">
        <f t="shared" si="22"/>
        <v>1755048</v>
      </c>
      <c r="K72" s="42">
        <f t="shared" si="22"/>
        <v>1949713</v>
      </c>
      <c r="L72" s="42">
        <f t="shared" si="22"/>
        <v>2177546</v>
      </c>
    </row>
    <row r="73" spans="1:12" outlineLevel="1"/>
    <row r="74" spans="1:12" outlineLevel="1">
      <c r="B74" s="17" t="s">
        <v>75</v>
      </c>
      <c r="C74" s="24">
        <f>IFERROR('Data Sheet '!B63,0)</f>
        <v>198526</v>
      </c>
      <c r="D74" s="24">
        <f>IFERROR('Data Sheet '!C63,0)</f>
        <v>403885</v>
      </c>
      <c r="E74" s="24">
        <f>IFERROR('Data Sheet '!D63,0)</f>
        <v>398374</v>
      </c>
      <c r="F74" s="24">
        <f>IFERROR('Data Sheet '!E63,0)</f>
        <v>532658</v>
      </c>
      <c r="G74" s="24">
        <f>IFERROR('Data Sheet '!F63,0)</f>
        <v>541258</v>
      </c>
      <c r="H74" s="24">
        <f>IFERROR('Data Sheet '!G63,0)</f>
        <v>627798</v>
      </c>
      <c r="I74" s="24">
        <f>IFERROR('Data Sheet '!H63,0)</f>
        <v>724805</v>
      </c>
      <c r="J74" s="24">
        <f>IFERROR('Data Sheet '!I63,0)</f>
        <v>779985</v>
      </c>
      <c r="K74" s="24">
        <f>IFERROR('Data Sheet '!J63,0)</f>
        <v>999393</v>
      </c>
      <c r="L74" s="24">
        <f>IFERROR('Data Sheet '!K63,0)</f>
        <v>1124795</v>
      </c>
    </row>
    <row r="75" spans="1:12" outlineLevel="1">
      <c r="B75" s="15" t="s">
        <v>76</v>
      </c>
      <c r="C75" s="29">
        <f>IFERROR('Data Sheet '!B64,0)</f>
        <v>324837</v>
      </c>
      <c r="D75" s="29">
        <f>IFERROR('Data Sheet '!C64,0)</f>
        <v>187022</v>
      </c>
      <c r="E75" s="29">
        <f>IFERROR('Data Sheet '!D64,0)</f>
        <v>179463</v>
      </c>
      <c r="F75" s="29">
        <f>IFERROR('Data Sheet '!E64,0)</f>
        <v>109106</v>
      </c>
      <c r="G75" s="29">
        <f>IFERROR('Data Sheet '!F64,0)</f>
        <v>125953</v>
      </c>
      <c r="H75" s="29">
        <f>IFERROR('Data Sheet '!G64,0)</f>
        <v>172506</v>
      </c>
      <c r="I75" s="29">
        <f>IFERROR('Data Sheet '!H64,0)</f>
        <v>293752</v>
      </c>
      <c r="J75" s="29">
        <f>IFERROR('Data Sheet '!I64,0)</f>
        <v>338855</v>
      </c>
      <c r="K75" s="29">
        <f>IFERROR('Data Sheet '!J64,0)</f>
        <v>262358</v>
      </c>
      <c r="L75" s="29">
        <f>IFERROR('Data Sheet '!K64,0)</f>
        <v>237686</v>
      </c>
    </row>
    <row r="76" spans="1:12" outlineLevel="1">
      <c r="B76" s="15" t="s">
        <v>38</v>
      </c>
      <c r="C76" s="29">
        <f>IFERROR('Data Sheet '!B65,0)</f>
        <v>82899</v>
      </c>
      <c r="D76" s="29">
        <f>IFERROR('Data Sheet '!C65,0)</f>
        <v>82862</v>
      </c>
      <c r="E76" s="29">
        <f>IFERROR('Data Sheet '!D65,0)</f>
        <v>235635</v>
      </c>
      <c r="F76" s="29">
        <f>IFERROR('Data Sheet '!E65,0)</f>
        <v>276767</v>
      </c>
      <c r="G76" s="29">
        <f>IFERROR('Data Sheet '!F65,0)</f>
        <v>364828</v>
      </c>
      <c r="H76" s="29">
        <f>IFERROR('Data Sheet '!G65,0)</f>
        <v>394264</v>
      </c>
      <c r="I76" s="29">
        <f>IFERROR('Data Sheet '!H65,0)</f>
        <v>235560</v>
      </c>
      <c r="J76" s="29">
        <f>IFERROR('Data Sheet '!I65,0)</f>
        <v>225672</v>
      </c>
      <c r="K76" s="29">
        <f>IFERROR('Data Sheet '!J65,0)</f>
        <v>242381</v>
      </c>
      <c r="L76" s="29">
        <f>IFERROR('Data Sheet '!K65,0)</f>
        <v>248332</v>
      </c>
    </row>
    <row r="77" spans="1:12" outlineLevel="1">
      <c r="B77" s="15" t="s">
        <v>77</v>
      </c>
      <c r="C77" s="29">
        <f>IFERROR('Data Sheet '!B66-SUM('Data Sheet '!B68:B70),0)</f>
        <v>40389</v>
      </c>
      <c r="D77" s="29">
        <f>IFERROR('Data Sheet '!C66-SUM('Data Sheet '!C68:C70),0)</f>
        <v>54857</v>
      </c>
      <c r="E77" s="29">
        <f>IFERROR('Data Sheet '!D66-SUM('Data Sheet '!D68:D70),0)</f>
        <v>75427</v>
      </c>
      <c r="F77" s="29">
        <f>IFERROR('Data Sheet '!E66-SUM('Data Sheet '!E68:E70),0)</f>
        <v>120005</v>
      </c>
      <c r="G77" s="29">
        <f>IFERROR('Data Sheet '!F66-SUM('Data Sheet '!F68:F70),0)</f>
        <v>169943</v>
      </c>
      <c r="H77" s="29">
        <f>IFERROR('Data Sheet '!G66-SUM('Data Sheet '!G68:G70),0)</f>
        <v>136458</v>
      </c>
      <c r="I77" s="29">
        <f>IFERROR('Data Sheet '!H66-SUM('Data Sheet '!H68:H70),0)</f>
        <v>114645</v>
      </c>
      <c r="J77" s="29">
        <f>IFERROR('Data Sheet '!I66-SUM('Data Sheet '!I68:I70),0)</f>
        <v>128913</v>
      </c>
      <c r="K77" s="29">
        <f>IFERROR('Data Sheet '!J66-SUM('Data Sheet '!J68:J70),0)</f>
        <v>150896</v>
      </c>
      <c r="L77" s="29">
        <f>IFERROR('Data Sheet '!K66-SUM('Data Sheet '!K68:K70),0)</f>
        <v>195324</v>
      </c>
    </row>
    <row r="78" spans="1:12" outlineLevel="1">
      <c r="B78" s="41" t="s">
        <v>78</v>
      </c>
      <c r="C78" s="42">
        <f>SUM(C74:C77)</f>
        <v>646651</v>
      </c>
      <c r="D78" s="42">
        <f t="shared" ref="D78:L78" si="23">SUM(D74:D77)</f>
        <v>728626</v>
      </c>
      <c r="E78" s="42">
        <f t="shared" si="23"/>
        <v>888899</v>
      </c>
      <c r="F78" s="42">
        <f t="shared" si="23"/>
        <v>1038536</v>
      </c>
      <c r="G78" s="42">
        <f t="shared" si="23"/>
        <v>1201982</v>
      </c>
      <c r="H78" s="42">
        <f t="shared" si="23"/>
        <v>1331026</v>
      </c>
      <c r="I78" s="42">
        <f t="shared" si="23"/>
        <v>1368762</v>
      </c>
      <c r="J78" s="42">
        <f t="shared" si="23"/>
        <v>1473425</v>
      </c>
      <c r="K78" s="42">
        <f t="shared" si="23"/>
        <v>1655028</v>
      </c>
      <c r="L78" s="42">
        <f t="shared" si="23"/>
        <v>1806137</v>
      </c>
    </row>
    <row r="79" spans="1:12" outlineLevel="1"/>
    <row r="80" spans="1:12" outlineLevel="1">
      <c r="B80" s="17" t="s">
        <v>40</v>
      </c>
      <c r="C80" s="24">
        <f>IFERROR('Data Sheet '!B68,0)</f>
        <v>8177</v>
      </c>
      <c r="D80" s="24">
        <f>IFERROR('Data Sheet '!C68,0)</f>
        <v>17555</v>
      </c>
      <c r="E80" s="24">
        <f>IFERROR('Data Sheet '!D68,0)</f>
        <v>30089</v>
      </c>
      <c r="F80" s="24">
        <f>IFERROR('Data Sheet '!E68,0)</f>
        <v>19656</v>
      </c>
      <c r="G80" s="24">
        <f>IFERROR('Data Sheet '!F68,0)</f>
        <v>19014</v>
      </c>
      <c r="H80" s="24">
        <f>IFERROR('Data Sheet '!G68,0)</f>
        <v>23640</v>
      </c>
      <c r="I80" s="24">
        <f>IFERROR('Data Sheet '!H68,0)</f>
        <v>28448</v>
      </c>
      <c r="J80" s="24">
        <f>IFERROR('Data Sheet '!I68,0)</f>
        <v>31628</v>
      </c>
      <c r="K80" s="24">
        <f>IFERROR('Data Sheet '!J68,0)</f>
        <v>42121</v>
      </c>
      <c r="L80" s="24">
        <f>IFERROR('Data Sheet '!K68,0)</f>
        <v>58491</v>
      </c>
    </row>
    <row r="81" spans="1:12" outlineLevel="1">
      <c r="B81" s="15" t="s">
        <v>41</v>
      </c>
      <c r="C81" s="29">
        <f>IFERROR('Data Sheet '!B69,0)</f>
        <v>48951</v>
      </c>
      <c r="D81" s="29">
        <f>IFERROR('Data Sheet '!C69,0)</f>
        <v>60837</v>
      </c>
      <c r="E81" s="29">
        <f>IFERROR('Data Sheet '!D69,0)</f>
        <v>67561</v>
      </c>
      <c r="F81" s="29">
        <f>IFERROR('Data Sheet '!E69,0)</f>
        <v>73903</v>
      </c>
      <c r="G81" s="29">
        <f>IFERROR('Data Sheet '!F69,0)</f>
        <v>81672</v>
      </c>
      <c r="H81" s="29">
        <f>IFERROR('Data Sheet '!G69,0)</f>
        <v>107778</v>
      </c>
      <c r="I81" s="29">
        <f>IFERROR('Data Sheet '!H69,0)</f>
        <v>140008</v>
      </c>
      <c r="J81" s="29">
        <f>IFERROR('Data Sheet '!I69,0)</f>
        <v>152770</v>
      </c>
      <c r="K81" s="29">
        <f>IFERROR('Data Sheet '!J69,0)</f>
        <v>146062</v>
      </c>
      <c r="L81" s="29">
        <f>IFERROR('Data Sheet '!K69,0)</f>
        <v>166941</v>
      </c>
    </row>
    <row r="82" spans="1:12" outlineLevel="1">
      <c r="B82" s="15" t="s">
        <v>79</v>
      </c>
      <c r="C82" s="29">
        <f>IFERROR('Data Sheet '!B70,0)</f>
        <v>3023</v>
      </c>
      <c r="D82" s="29">
        <f>IFERROR('Data Sheet '!C70,0)</f>
        <v>4255</v>
      </c>
      <c r="E82" s="29">
        <f>IFERROR('Data Sheet '!D70,0)</f>
        <v>11081</v>
      </c>
      <c r="F82" s="29">
        <f>IFERROR('Data Sheet '!E70,0)</f>
        <v>30920</v>
      </c>
      <c r="G82" s="29">
        <f>IFERROR('Data Sheet '!F70,0)</f>
        <v>17397</v>
      </c>
      <c r="H82" s="29">
        <f>IFERROR('Data Sheet '!G70,0)</f>
        <v>36178</v>
      </c>
      <c r="I82" s="29">
        <f>IFERROR('Data Sheet '!H70,0)</f>
        <v>68664</v>
      </c>
      <c r="J82" s="29">
        <f>IFERROR('Data Sheet '!I70,0)</f>
        <v>97225</v>
      </c>
      <c r="K82" s="29">
        <f>IFERROR('Data Sheet '!J70,0)</f>
        <v>106502</v>
      </c>
      <c r="L82" s="29">
        <f>IFERROR('Data Sheet '!K70,0)</f>
        <v>145977</v>
      </c>
    </row>
    <row r="83" spans="1:12" outlineLevel="1">
      <c r="B83" s="41" t="s">
        <v>80</v>
      </c>
      <c r="C83" s="42">
        <f>SUM(C80:C82)</f>
        <v>60151</v>
      </c>
      <c r="D83" s="42">
        <f t="shared" ref="D83:L83" si="24">SUM(D80:D82)</f>
        <v>82647</v>
      </c>
      <c r="E83" s="42">
        <f t="shared" si="24"/>
        <v>108731</v>
      </c>
      <c r="F83" s="42">
        <f t="shared" si="24"/>
        <v>124479</v>
      </c>
      <c r="G83" s="42">
        <f t="shared" si="24"/>
        <v>118083</v>
      </c>
      <c r="H83" s="42">
        <f t="shared" si="24"/>
        <v>167596</v>
      </c>
      <c r="I83" s="42">
        <f t="shared" si="24"/>
        <v>237120</v>
      </c>
      <c r="J83" s="42">
        <f t="shared" si="24"/>
        <v>281623</v>
      </c>
      <c r="K83" s="42">
        <f t="shared" si="24"/>
        <v>294685</v>
      </c>
      <c r="L83" s="42">
        <f t="shared" si="24"/>
        <v>371409</v>
      </c>
    </row>
    <row r="84" spans="1:12" ht="15" outlineLevel="1" thickBot="1"/>
    <row r="85" spans="1:12" ht="15.6" outlineLevel="1" thickTop="1" thickBot="1">
      <c r="B85" s="18" t="s">
        <v>81</v>
      </c>
      <c r="C85" s="37">
        <f>SUM(C78,C83)</f>
        <v>706802</v>
      </c>
      <c r="D85" s="37">
        <f t="shared" ref="D85:L85" si="25">SUM(D78,D83)</f>
        <v>811273</v>
      </c>
      <c r="E85" s="37">
        <f t="shared" si="25"/>
        <v>997630</v>
      </c>
      <c r="F85" s="37">
        <f t="shared" si="25"/>
        <v>1163015</v>
      </c>
      <c r="G85" s="37">
        <f t="shared" si="25"/>
        <v>1320065</v>
      </c>
      <c r="H85" s="37">
        <f t="shared" si="25"/>
        <v>1498622</v>
      </c>
      <c r="I85" s="37">
        <f t="shared" si="25"/>
        <v>1605882</v>
      </c>
      <c r="J85" s="37">
        <f t="shared" si="25"/>
        <v>1755048</v>
      </c>
      <c r="K85" s="37">
        <f t="shared" si="25"/>
        <v>1949713</v>
      </c>
      <c r="L85" s="37">
        <f t="shared" si="25"/>
        <v>2177546</v>
      </c>
    </row>
    <row r="86" spans="1:12" ht="15" outlineLevel="1" thickTop="1"/>
    <row r="87" spans="1:12" outlineLevel="1">
      <c r="B87" s="22" t="s">
        <v>82</v>
      </c>
      <c r="C87" s="22" t="b">
        <f>C85=C72</f>
        <v>1</v>
      </c>
      <c r="D87" s="22" t="b">
        <f t="shared" ref="D87:L87" si="26">D85=D72</f>
        <v>1</v>
      </c>
      <c r="E87" s="22" t="b">
        <f t="shared" si="26"/>
        <v>1</v>
      </c>
      <c r="F87" s="22" t="b">
        <f t="shared" si="26"/>
        <v>1</v>
      </c>
      <c r="G87" s="22" t="b">
        <f t="shared" si="26"/>
        <v>1</v>
      </c>
      <c r="H87" s="22" t="b">
        <f t="shared" si="26"/>
        <v>1</v>
      </c>
      <c r="I87" s="22" t="b">
        <f t="shared" si="26"/>
        <v>1</v>
      </c>
      <c r="J87" s="22" t="b">
        <f t="shared" si="26"/>
        <v>1</v>
      </c>
      <c r="K87" s="22" t="b">
        <f t="shared" si="26"/>
        <v>1</v>
      </c>
      <c r="L87" s="22" t="b">
        <f t="shared" si="26"/>
        <v>1</v>
      </c>
    </row>
    <row r="89" spans="1:12">
      <c r="A89" s="22" t="s">
        <v>56</v>
      </c>
      <c r="B89" s="21" t="s">
        <v>83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</row>
    <row r="90" spans="1:12" outlineLevel="1">
      <c r="B90" s="23" t="s">
        <v>84</v>
      </c>
      <c r="C90" s="24">
        <f>IFERROR('Data Sheet '!B83,0)</f>
        <v>49550</v>
      </c>
      <c r="D90" s="24">
        <f>IFERROR('Data Sheet '!C83,0)</f>
        <v>71459</v>
      </c>
      <c r="E90" s="24">
        <f>IFERROR('Data Sheet '!D83,0)</f>
        <v>42346</v>
      </c>
      <c r="F90" s="24">
        <f>IFERROR('Data Sheet '!E83,0)</f>
        <v>94877</v>
      </c>
      <c r="G90" s="24">
        <f>IFERROR('Data Sheet '!F83,0)</f>
        <v>26958</v>
      </c>
      <c r="H90" s="24">
        <f>IFERROR('Data Sheet '!G83,0)</f>
        <v>110654</v>
      </c>
      <c r="I90" s="24">
        <f>IFERROR('Data Sheet '!H83,0)</f>
        <v>115032</v>
      </c>
      <c r="J90" s="24">
        <f>IFERROR('Data Sheet '!I83,0)</f>
        <v>158788</v>
      </c>
      <c r="K90" s="24">
        <f>IFERROR('Data Sheet '!J83,0)</f>
        <v>178703</v>
      </c>
      <c r="L90" s="24">
        <f>IFERROR('Data Sheet '!K83,0)</f>
        <v>192113</v>
      </c>
    </row>
    <row r="91" spans="1:12" outlineLevel="1">
      <c r="C91" s="29"/>
      <c r="D91" s="29"/>
      <c r="E91" s="29"/>
      <c r="F91" s="29"/>
      <c r="G91" s="29"/>
      <c r="H91" s="29"/>
      <c r="I91" s="29"/>
      <c r="J91" s="29"/>
      <c r="K91" s="29"/>
      <c r="L91" s="29"/>
    </row>
    <row r="92" spans="1:12" outlineLevel="1">
      <c r="B92" s="22" t="s">
        <v>85</v>
      </c>
      <c r="C92" s="29">
        <f>IFERROR('Data Sheet '!B84,0)</f>
        <v>-66201</v>
      </c>
      <c r="D92" s="29">
        <f>IFERROR('Data Sheet '!C84,0)</f>
        <v>-68192</v>
      </c>
      <c r="E92" s="29">
        <f>IFERROR('Data Sheet '!D84,0)</f>
        <v>-94507</v>
      </c>
      <c r="F92" s="29">
        <f>IFERROR('Data Sheet '!E84,0)</f>
        <v>-72497</v>
      </c>
      <c r="G92" s="29">
        <f>IFERROR('Data Sheet '!F84,0)</f>
        <v>-142385</v>
      </c>
      <c r="H92" s="29">
        <f>IFERROR('Data Sheet '!G84,0)</f>
        <v>-109162</v>
      </c>
      <c r="I92" s="29">
        <f>IFERROR('Data Sheet '!H84,0)</f>
        <v>-93001</v>
      </c>
      <c r="J92" s="29">
        <f>IFERROR('Data Sheet '!I84,0)</f>
        <v>-113581</v>
      </c>
      <c r="K92" s="29">
        <f>IFERROR('Data Sheet '!J84,0)</f>
        <v>-137535</v>
      </c>
      <c r="L92" s="29">
        <f>IFERROR('Data Sheet '!K84,0)</f>
        <v>-101089</v>
      </c>
    </row>
    <row r="93" spans="1:12" outlineLevel="1"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outlineLevel="1">
      <c r="B94" s="39" t="s">
        <v>86</v>
      </c>
      <c r="C94" s="36">
        <f>IFERROR('Data Sheet '!B85,0)</f>
        <v>8617</v>
      </c>
      <c r="D94" s="36">
        <f>IFERROR('Data Sheet '!C85,0)</f>
        <v>-2001</v>
      </c>
      <c r="E94" s="36">
        <f>IFERROR('Data Sheet '!D85,0)</f>
        <v>55906</v>
      </c>
      <c r="F94" s="36">
        <f>IFERROR('Data Sheet '!E85,0)</f>
        <v>-2541</v>
      </c>
      <c r="G94" s="36">
        <f>IFERROR('Data Sheet '!F85,0)</f>
        <v>101904</v>
      </c>
      <c r="H94" s="36">
        <f>IFERROR('Data Sheet '!G85,0)</f>
        <v>17289</v>
      </c>
      <c r="I94" s="36">
        <f>IFERROR('Data Sheet '!H85,0)</f>
        <v>10455</v>
      </c>
      <c r="J94" s="36">
        <f>IFERROR('Data Sheet '!I85,0)</f>
        <v>-16646</v>
      </c>
      <c r="K94" s="36">
        <f>IFERROR('Data Sheet '!J85,0)</f>
        <v>-31891</v>
      </c>
      <c r="L94" s="36">
        <f>IFERROR('Data Sheet '!K85,0)</f>
        <v>-51549</v>
      </c>
    </row>
    <row r="95" spans="1:12" ht="15" outlineLevel="1" thickBot="1"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1:12" ht="15.6" outlineLevel="1" thickTop="1" thickBot="1">
      <c r="B96" s="40" t="s">
        <v>87</v>
      </c>
      <c r="C96" s="107">
        <f>SUM(C90:C94)</f>
        <v>-8034</v>
      </c>
      <c r="D96" s="107">
        <f t="shared" ref="D96:L96" si="27">SUM(D90:D94)</f>
        <v>1266</v>
      </c>
      <c r="E96" s="107">
        <f t="shared" si="27"/>
        <v>3745</v>
      </c>
      <c r="F96" s="107">
        <f t="shared" si="27"/>
        <v>19839</v>
      </c>
      <c r="G96" s="107">
        <f t="shared" si="27"/>
        <v>-13523</v>
      </c>
      <c r="H96" s="107">
        <f t="shared" si="27"/>
        <v>18781</v>
      </c>
      <c r="I96" s="107">
        <f t="shared" si="27"/>
        <v>32486</v>
      </c>
      <c r="J96" s="107">
        <f t="shared" si="27"/>
        <v>28561</v>
      </c>
      <c r="K96" s="107">
        <f t="shared" si="27"/>
        <v>9277</v>
      </c>
      <c r="L96" s="107">
        <f t="shared" si="27"/>
        <v>39475</v>
      </c>
    </row>
    <row r="97" ht="15" thickTop="1"/>
  </sheetData>
  <mergeCells count="1">
    <mergeCell ref="B8:L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A647-C038-4B05-8DFA-01BE4B1CB140}">
  <dimension ref="B8:O46"/>
  <sheetViews>
    <sheetView showGridLines="0" workbookViewId="0">
      <pane ySplit="9" topLeftCell="A24" activePane="bottomLeft" state="frozen"/>
      <selection pane="bottomLeft" activeCell="C34" sqref="C34"/>
    </sheetView>
  </sheetViews>
  <sheetFormatPr defaultRowHeight="14.4"/>
  <cols>
    <col min="1" max="1" width="1.88671875" customWidth="1"/>
    <col min="2" max="2" width="26.5546875" bestFit="1" customWidth="1"/>
    <col min="3" max="3" width="15.33203125" bestFit="1" customWidth="1"/>
    <col min="4" max="12" width="10.77734375" customWidth="1"/>
    <col min="13" max="13" width="9.21875" customWidth="1"/>
  </cols>
  <sheetData>
    <row r="8" spans="2:15">
      <c r="B8" s="193" t="str">
        <f>"RATIO ANALYSIS-"&amp;'Data Sheet '!B2</f>
        <v>RATIO ANALYSIS-RELIANCE INDUSTRIES LTD</v>
      </c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</row>
    <row r="9" spans="2:15">
      <c r="B9" s="19" t="s">
        <v>54</v>
      </c>
      <c r="C9" s="20">
        <f>'Data Sheet '!B17</f>
        <v>42825</v>
      </c>
      <c r="D9" s="20">
        <f>'Data Sheet '!C17</f>
        <v>43190</v>
      </c>
      <c r="E9" s="20">
        <f>'Data Sheet '!D17</f>
        <v>43555</v>
      </c>
      <c r="F9" s="20">
        <f>'Data Sheet '!E17</f>
        <v>43921</v>
      </c>
      <c r="G9" s="20">
        <f>'Data Sheet '!F17</f>
        <v>44286</v>
      </c>
      <c r="H9" s="20">
        <f>'Data Sheet '!G17</f>
        <v>44651</v>
      </c>
      <c r="I9" s="20">
        <f>'Data Sheet '!H17</f>
        <v>45016</v>
      </c>
      <c r="J9" s="20">
        <f>'Data Sheet '!I17</f>
        <v>45382</v>
      </c>
      <c r="K9" s="20">
        <f>'Data Sheet '!J17</f>
        <v>45747</v>
      </c>
      <c r="L9" s="20">
        <f>'Data Sheet '!K17</f>
        <v>46112</v>
      </c>
      <c r="M9" s="45" t="s">
        <v>115</v>
      </c>
      <c r="N9" s="45" t="s">
        <v>116</v>
      </c>
      <c r="O9" s="45" t="s">
        <v>117</v>
      </c>
    </row>
    <row r="11" spans="2:15">
      <c r="B11" s="47" t="s">
        <v>142</v>
      </c>
      <c r="C11" s="47"/>
      <c r="D11" s="48">
        <f>IFERROR(HistoricalFS!D13,0)</f>
        <v>0.28579653500200686</v>
      </c>
      <c r="E11" s="48">
        <f>IFERROR(HistoricalFS!E13,0)</f>
        <v>0.45420561225925793</v>
      </c>
      <c r="F11" s="48">
        <f>IFERROR(HistoricalFS!F13,0)</f>
        <v>4.9868299969912266E-2</v>
      </c>
      <c r="G11" s="48">
        <f>IFERROR(HistoricalFS!G13,0)</f>
        <v>-0.21849604226057895</v>
      </c>
      <c r="H11" s="48">
        <f>IFERROR(HistoricalFS!H13,0)</f>
        <v>0.48973315862725619</v>
      </c>
      <c r="I11" s="48">
        <f>IFERROR(HistoricalFS!I13,0)</f>
        <v>0.26159502384575184</v>
      </c>
      <c r="J11" s="48">
        <f>IFERROR(HistoricalFS!J13,0)</f>
        <v>2.5838776078393799E-2</v>
      </c>
      <c r="K11" s="48">
        <f>IFERROR(HistoricalFS!K13,0)</f>
        <v>7.0941147289167006E-2</v>
      </c>
      <c r="L11" s="48">
        <f>IFERROR(HistoricalFS!L13,0)</f>
        <v>9.6549718535136275E-2</v>
      </c>
      <c r="M11" s="47"/>
      <c r="N11" s="52">
        <f>AVERAGE(D11:L11)</f>
        <v>0.16844802548292259</v>
      </c>
      <c r="O11" s="52">
        <f>MEDIAN(D11:L11)</f>
        <v>9.6549718535136275E-2</v>
      </c>
    </row>
    <row r="12" spans="2:15">
      <c r="B12" t="s">
        <v>88</v>
      </c>
      <c r="D12" s="46">
        <f>IFERROR(HistoricalFS!D37/HistoricalFS!C37-1,0)</f>
        <v>0.33595058437933334</v>
      </c>
      <c r="E12" s="46">
        <f>IFERROR(HistoricalFS!E37/HistoricalFS!D37-1,0)</f>
        <v>0.24900248031920635</v>
      </c>
      <c r="F12" s="46">
        <f>IFERROR(HistoricalFS!F37/HistoricalFS!E37-1,0)</f>
        <v>5.5905715765843578E-2</v>
      </c>
      <c r="G12" s="46">
        <f>IFERROR(HistoricalFS!G37/HistoricalFS!F37-1,0)</f>
        <v>5.5051310356106109E-2</v>
      </c>
      <c r="H12" s="46">
        <f>IFERROR(HistoricalFS!H37/HistoricalFS!G37-1,0)</f>
        <v>0.2417992288465638</v>
      </c>
      <c r="I12" s="46">
        <f>IFERROR(HistoricalFS!I37/HistoricalFS!H37-1,0)</f>
        <v>0.20406300465747651</v>
      </c>
      <c r="J12" s="46">
        <f>IFERROR(HistoricalFS!J37/HistoricalFS!I37-1,0)</f>
        <v>0.15519185165027416</v>
      </c>
      <c r="K12" s="46">
        <f>IFERROR(HistoricalFS!K37/HistoricalFS!J37-1,0)</f>
        <v>2.8784564473610441E-2</v>
      </c>
      <c r="L12" s="46">
        <f>IFERROR(HistoricalFS!L37/HistoricalFS!K37-1,0)</f>
        <v>0.13351179247854672</v>
      </c>
      <c r="N12" s="53">
        <f t="shared" ref="N12:N15" si="0">AVERAGE(D12:L12)</f>
        <v>0.16214005921410679</v>
      </c>
      <c r="O12" s="53">
        <f t="shared" ref="O12:O15" si="1">MEDIAN(D12:L12)</f>
        <v>0.15519185165027416</v>
      </c>
    </row>
    <row r="13" spans="2:15">
      <c r="B13" t="s">
        <v>89</v>
      </c>
      <c r="D13" s="46">
        <f>IFERROR(HistoricalFS!D46/HistoricalFS!C46-1,0)</f>
        <v>0.23460058949892582</v>
      </c>
      <c r="E13" s="46">
        <f>IFERROR(HistoricalFS!E46/HistoricalFS!D46-1,0)</f>
        <v>0.1173673774936268</v>
      </c>
      <c r="F13" s="46">
        <f>IFERROR(HistoricalFS!F46/HistoricalFS!E46-1,0)</f>
        <v>-2.9351585275318226E-2</v>
      </c>
      <c r="G13" s="46">
        <f>IFERROR(HistoricalFS!G46/HistoricalFS!F46-1,0)</f>
        <v>3.4604335335596703E-2</v>
      </c>
      <c r="H13" s="46">
        <f>IFERROR(HistoricalFS!H46/HistoricalFS!G46-1,0)</f>
        <v>0.51124213411225905</v>
      </c>
      <c r="I13" s="46">
        <f>IFERROR(HistoricalFS!I46/HistoricalFS!H46-1,0)</f>
        <v>0.12705363001849301</v>
      </c>
      <c r="J13" s="46">
        <f>IFERROR(HistoricalFS!J46/HistoricalFS!I46-1,0)</f>
        <v>0.10454776422764223</v>
      </c>
      <c r="K13" s="46">
        <f>IFERROR(HistoricalFS!K46/HistoricalFS!J46-1,0)</f>
        <v>1.6072455434157584E-2</v>
      </c>
      <c r="L13" s="46">
        <f>IFERROR(HistoricalFS!L46/HistoricalFS!K46-1,0)</f>
        <v>0.1617193468971958</v>
      </c>
      <c r="N13" s="53">
        <f t="shared" si="0"/>
        <v>0.14198400530473096</v>
      </c>
      <c r="O13" s="53">
        <f t="shared" si="1"/>
        <v>0.1173673774936268</v>
      </c>
    </row>
    <row r="14" spans="2:15">
      <c r="B14" t="s">
        <v>90</v>
      </c>
      <c r="D14" s="46">
        <f>IFERROR(HistoricalFS!D52/HistoricalFS!C52-1,0)</f>
        <v>0.20939898769818655</v>
      </c>
      <c r="E14" s="46">
        <f>IFERROR(HistoricalFS!E52/HistoricalFS!D52-1,0)</f>
        <v>0.10412971175166308</v>
      </c>
      <c r="F14" s="46">
        <f>IFERROR(HistoricalFS!F52/HistoricalFS!E52-1,0)</f>
        <v>1.0793985490875624E-3</v>
      </c>
      <c r="G14" s="46">
        <f>IFERROR(HistoricalFS!G52/HistoricalFS!F52-1,0)</f>
        <v>0.3475175526579739</v>
      </c>
      <c r="H14" s="46">
        <f>IFERROR(HistoricalFS!H52/HistoricalFS!G52-1,0)</f>
        <v>0.26249092837603971</v>
      </c>
      <c r="I14" s="46">
        <f>IFERROR(HistoricalFS!I52/HistoricalFS!H52-1,0)</f>
        <v>9.2018571744417521E-2</v>
      </c>
      <c r="J14" s="46">
        <f>IFERROR(HistoricalFS!J52/HistoricalFS!I52-1,0)</f>
        <v>6.1345966958211928E-2</v>
      </c>
      <c r="K14" s="46">
        <f>IFERROR(HistoricalFS!K52/HistoricalFS!J52-1,0)</f>
        <v>2.7393079241539775E-2</v>
      </c>
      <c r="L14" s="46">
        <f>IFERROR(HistoricalFS!L52/HistoricalFS!K52-1,0)</f>
        <v>0.18348249099483827</v>
      </c>
      <c r="N14" s="53">
        <f t="shared" si="0"/>
        <v>0.14320629866355092</v>
      </c>
      <c r="O14" s="53">
        <f t="shared" si="1"/>
        <v>0.10412971175166308</v>
      </c>
    </row>
    <row r="15" spans="2:15">
      <c r="B15" s="49" t="s">
        <v>91</v>
      </c>
      <c r="C15" s="50"/>
      <c r="D15" s="51">
        <f>IFERROR(HistoricalFS!D63/HistoricalFS!C63-1,0)</f>
        <v>9.1646440750867919E-2</v>
      </c>
      <c r="E15" s="51">
        <f>IFERROR(HistoricalFS!E63/HistoricalFS!D63-1,0)</f>
        <v>8.4065068107621377E-2</v>
      </c>
      <c r="F15" s="51">
        <f>IFERROR(HistoricalFS!F63/HistoricalFS!E63-1,0)</f>
        <v>6.9692878839014538E-2</v>
      </c>
      <c r="G15" s="51">
        <f>IFERROR(HistoricalFS!G63/HistoricalFS!F63-1,0)</f>
        <v>9.4931255839916462E-2</v>
      </c>
      <c r="H15" s="51">
        <f>IFERROR(HistoricalFS!H63/HistoricalFS!G63-1,0)</f>
        <v>0.19960101961653542</v>
      </c>
      <c r="I15" s="51">
        <f>IFERROR(HistoricalFS!I63/HistoricalFS!H63-1,0)</f>
        <v>0.12516629711751648</v>
      </c>
      <c r="J15" s="51">
        <f>IFERROR(HistoricalFS!J63/HistoricalFS!I63-1,0)</f>
        <v>0.11111111111111116</v>
      </c>
      <c r="K15" s="51">
        <f>IFERROR(HistoricalFS!K63/HistoricalFS!J63-1,0)</f>
        <v>0.10000000000000009</v>
      </c>
      <c r="L15" s="51">
        <f>IFERROR(HistoricalFS!L63/HistoricalFS!K63-1,0)</f>
        <v>9.0909090909090828E-2</v>
      </c>
      <c r="M15" s="49"/>
      <c r="N15" s="54">
        <f t="shared" si="0"/>
        <v>0.10745812914351936</v>
      </c>
      <c r="O15" s="54">
        <f t="shared" si="1"/>
        <v>9.4931255839916462E-2</v>
      </c>
    </row>
    <row r="16" spans="2:15">
      <c r="N16" s="53"/>
    </row>
    <row r="17" spans="2:15">
      <c r="B17" s="47" t="s">
        <v>92</v>
      </c>
      <c r="C17" s="52">
        <f>HistoricalFS!C26</f>
        <v>0.20432697052843524</v>
      </c>
      <c r="D17" s="52">
        <f>HistoricalFS!D26</f>
        <v>0.22919326651706784</v>
      </c>
      <c r="E17" s="52">
        <f>HistoricalFS!E26</f>
        <v>0.23249410121107722</v>
      </c>
      <c r="F17" s="52">
        <f>HistoricalFS!F26</f>
        <v>0.25278583627042345</v>
      </c>
      <c r="G17" s="52">
        <f>HistoricalFS!G26</f>
        <v>0.29570218761459727</v>
      </c>
      <c r="H17" s="52">
        <f>HistoricalFS!H26</f>
        <v>0.24881778908925495</v>
      </c>
      <c r="I17" s="52">
        <f>HistoricalFS!I26</f>
        <v>0.24911227344716316</v>
      </c>
      <c r="J17" s="52">
        <f>HistoricalFS!J26</f>
        <v>0.27541124375862724</v>
      </c>
      <c r="K17" s="52">
        <f>HistoricalFS!K26</f>
        <v>0.27252342078477804</v>
      </c>
      <c r="L17" s="52">
        <f>HistoricalFS!L26</f>
        <v>0.27805792873515317</v>
      </c>
      <c r="M17" s="47"/>
      <c r="N17" s="52">
        <f>AVERAGE(C17:L17)</f>
        <v>0.25384250179565776</v>
      </c>
      <c r="O17" s="52">
        <f>MEDIAN(C17:L17)</f>
        <v>0.25094905485879332</v>
      </c>
    </row>
    <row r="18" spans="2:15">
      <c r="B18" t="s">
        <v>93</v>
      </c>
      <c r="C18" s="53">
        <f>HistoricalFS!C38</f>
        <v>0.18268882791475025</v>
      </c>
      <c r="D18" s="53">
        <f>HistoricalFS!D38</f>
        <v>0.18981482666066224</v>
      </c>
      <c r="E18" s="53">
        <f>HistoricalFS!E38</f>
        <v>0.16303003323732224</v>
      </c>
      <c r="F18" s="53">
        <f>HistoricalFS!F38</f>
        <v>0.16396756044707456</v>
      </c>
      <c r="G18" s="53">
        <f>HistoricalFS!G38</f>
        <v>0.22136060578116992</v>
      </c>
      <c r="H18" s="53">
        <f>HistoricalFS!H38</f>
        <v>0.18451991080695521</v>
      </c>
      <c r="I18" s="53">
        <f>HistoricalFS!I38</f>
        <v>0.1761053222515849</v>
      </c>
      <c r="J18" s="53">
        <f>HistoricalFS!J38</f>
        <v>0.19831131171993269</v>
      </c>
      <c r="K18" s="53">
        <f>HistoricalFS!K38</f>
        <v>0.19050497496936084</v>
      </c>
      <c r="L18" s="53">
        <f>HistoricalFS!L38</f>
        <v>0.1969264430089602</v>
      </c>
      <c r="N18" s="53">
        <f t="shared" ref="N18:N45" si="2">AVERAGE(C18:L18)</f>
        <v>0.1867229816797773</v>
      </c>
      <c r="O18" s="53">
        <f t="shared" ref="O18:O29" si="3">MEDIAN(C18:L18)</f>
        <v>0.18716736873380874</v>
      </c>
    </row>
    <row r="19" spans="2:15">
      <c r="B19" t="s">
        <v>94</v>
      </c>
      <c r="C19" s="53">
        <f>HistoricalFS!C47</f>
        <v>0.13171071938517012</v>
      </c>
      <c r="D19" s="53">
        <f>HistoricalFS!D47</f>
        <v>0.12646645668243681</v>
      </c>
      <c r="E19" s="53">
        <f>HistoricalFS!E47</f>
        <v>9.7172980115670812E-2</v>
      </c>
      <c r="F19" s="53">
        <f>HistoricalFS!F47</f>
        <v>8.9840601060201544E-2</v>
      </c>
      <c r="G19" s="53">
        <f>HistoricalFS!G47</f>
        <v>0.11893666618772611</v>
      </c>
      <c r="H19" s="53">
        <f>HistoricalFS!H47</f>
        <v>0.12065389039159431</v>
      </c>
      <c r="I19" s="53">
        <f>HistoricalFS!I47</f>
        <v>0.10778689085755755</v>
      </c>
      <c r="J19" s="53">
        <f>HistoricalFS!J47</f>
        <v>0.11605699851285982</v>
      </c>
      <c r="K19" s="53">
        <f>HistoricalFS!K47</f>
        <v>0.11011092416027918</v>
      </c>
      <c r="L19" s="53">
        <f>HistoricalFS!L47</f>
        <v>0.11665498494004432</v>
      </c>
      <c r="N19" s="53">
        <f t="shared" si="2"/>
        <v>0.11353911122935405</v>
      </c>
      <c r="O19" s="53">
        <f t="shared" si="3"/>
        <v>0.11635599172645207</v>
      </c>
    </row>
    <row r="20" spans="2:15">
      <c r="B20" s="49" t="s">
        <v>95</v>
      </c>
      <c r="C20" s="54">
        <f>HistoricalFS!C53</f>
        <v>9.8149720023424591E-2</v>
      </c>
      <c r="D20" s="54">
        <f>HistoricalFS!D53</f>
        <v>9.2318005849195153E-2</v>
      </c>
      <c r="E20" s="54">
        <f>HistoricalFS!E53</f>
        <v>7.0093975933293098E-2</v>
      </c>
      <c r="F20" s="54">
        <f>HistoricalFS!F53</f>
        <v>6.6836607288005778E-2</v>
      </c>
      <c r="G20" s="54">
        <f>HistoricalFS!G53</f>
        <v>0.11524382005845935</v>
      </c>
      <c r="H20" s="54">
        <f>HistoricalFS!H53</f>
        <v>9.7664656608217104E-2</v>
      </c>
      <c r="I20" s="54">
        <f>HistoricalFS!I53</f>
        <v>8.4537127052154507E-2</v>
      </c>
      <c r="J20" s="54">
        <f>HistoricalFS!J53</f>
        <v>8.7463196895358503E-2</v>
      </c>
      <c r="K20" s="54">
        <f>HistoricalFS!K53</f>
        <v>8.3906649217922347E-2</v>
      </c>
      <c r="L20" s="54">
        <f>HistoricalFS!L53</f>
        <v>9.0558639110420738E-2</v>
      </c>
      <c r="M20" s="49"/>
      <c r="N20" s="54">
        <f t="shared" si="2"/>
        <v>8.8677239803645114E-2</v>
      </c>
      <c r="O20" s="54">
        <f t="shared" si="3"/>
        <v>8.9010918002889627E-2</v>
      </c>
    </row>
    <row r="21" spans="2:15">
      <c r="N21" s="53"/>
      <c r="O21" s="53"/>
    </row>
    <row r="22" spans="2:15">
      <c r="B22" s="47" t="s">
        <v>113</v>
      </c>
      <c r="C22" s="52">
        <f>HistoricalFS!C29</f>
        <v>6.0930272343841504E-2</v>
      </c>
      <c r="D22" s="52">
        <f>HistoricalFS!D29</f>
        <v>7.4486404331372519E-2</v>
      </c>
      <c r="E22" s="52">
        <f>HistoricalFS!E29</f>
        <v>8.8364825798777843E-2</v>
      </c>
      <c r="F22" s="52">
        <f>HistoricalFS!F29</f>
        <v>0.1049509032494859</v>
      </c>
      <c r="G22" s="52">
        <f>HistoricalFS!G29</f>
        <v>0.12042281158121151</v>
      </c>
      <c r="H22" s="52">
        <f>HistoricalFS!H29</f>
        <v>9.1428629009620357E-2</v>
      </c>
      <c r="I22" s="52">
        <f>HistoricalFS!I29</f>
        <v>7.6870501462809049E-2</v>
      </c>
      <c r="J22" s="52">
        <f>HistoricalFS!J29</f>
        <v>8.5971607524017252E-2</v>
      </c>
      <c r="K22" s="52">
        <f>HistoricalFS!K29</f>
        <v>9.2187532456741661E-2</v>
      </c>
      <c r="L22" s="52">
        <f>HistoricalFS!L29</f>
        <v>9.9190172194964857E-2</v>
      </c>
      <c r="M22" s="47"/>
      <c r="N22" s="52">
        <f t="shared" si="2"/>
        <v>8.9480365995284236E-2</v>
      </c>
      <c r="O22" s="52">
        <f t="shared" si="3"/>
        <v>8.98967274041991E-2</v>
      </c>
    </row>
    <row r="23" spans="2:15">
      <c r="B23" t="s">
        <v>112</v>
      </c>
      <c r="C23" s="53">
        <f>HistoricalFS!C41</f>
        <v>3.8315008192029057E-2</v>
      </c>
      <c r="D23" s="53">
        <f>HistoricalFS!D41</f>
        <v>4.2745693063100179E-2</v>
      </c>
      <c r="E23" s="53">
        <f>HistoricalFS!E41</f>
        <v>3.6833779958017863E-2</v>
      </c>
      <c r="F23" s="53">
        <f>HistoricalFS!F41</f>
        <v>3.721096267842508E-2</v>
      </c>
      <c r="G23" s="53">
        <f>HistoricalFS!G41</f>
        <v>5.6983918319905125E-2</v>
      </c>
      <c r="H23" s="53">
        <f>HistoricalFS!H41</f>
        <v>4.2871969977241089E-2</v>
      </c>
      <c r="I23" s="53">
        <f>HistoricalFS!I41</f>
        <v>4.5987202132369384E-2</v>
      </c>
      <c r="J23" s="53">
        <f>HistoricalFS!J41</f>
        <v>5.6540246774062587E-2</v>
      </c>
      <c r="K23" s="53">
        <f>HistoricalFS!K41</f>
        <v>5.5187885586090855E-2</v>
      </c>
      <c r="L23" s="53">
        <f>HistoricalFS!L41</f>
        <v>5.4640171247797839E-2</v>
      </c>
      <c r="N23" s="53">
        <f t="shared" si="2"/>
        <v>4.6731683792903912E-2</v>
      </c>
      <c r="O23" s="53">
        <f t="shared" si="3"/>
        <v>4.4429586054805237E-2</v>
      </c>
    </row>
    <row r="24" spans="2:15">
      <c r="B24" s="49" t="s">
        <v>111</v>
      </c>
      <c r="C24" s="54">
        <f>(HistoricalFS!C37-HistoricalFS!C40)/HistoricalFS!C12</f>
        <v>0.1443738197227212</v>
      </c>
      <c r="D24" s="54">
        <f>(HistoricalFS!D37-HistoricalFS!D40)/HistoricalFS!D12</f>
        <v>0.14706913359756207</v>
      </c>
      <c r="E24" s="54">
        <f>(HistoricalFS!E37-HistoricalFS!E40)/HistoricalFS!E12</f>
        <v>0.12619625327930437</v>
      </c>
      <c r="F24" s="54">
        <f>(HistoricalFS!F37-HistoricalFS!F40)/HistoricalFS!F12</f>
        <v>0.12675659776864948</v>
      </c>
      <c r="G24" s="54">
        <f>(HistoricalFS!G37-HistoricalFS!G40)/HistoricalFS!G12</f>
        <v>0.1643766874612648</v>
      </c>
      <c r="H24" s="54">
        <f>(HistoricalFS!H37-HistoricalFS!H40)/HistoricalFS!H12</f>
        <v>0.14164794082971413</v>
      </c>
      <c r="I24" s="54">
        <f>(HistoricalFS!I37-HistoricalFS!I40)/HistoricalFS!I12</f>
        <v>0.1301181201192155</v>
      </c>
      <c r="J24" s="54">
        <f>(HistoricalFS!J37-HistoricalFS!J40)/HistoricalFS!J12</f>
        <v>0.14177106494587011</v>
      </c>
      <c r="K24" s="54">
        <f>(HistoricalFS!K37-HistoricalFS!K40)/HistoricalFS!K12</f>
        <v>0.13531708938326997</v>
      </c>
      <c r="L24" s="54">
        <f>(HistoricalFS!L37-HistoricalFS!L40)/HistoricalFS!L12</f>
        <v>0.14228627176116238</v>
      </c>
      <c r="M24" s="49"/>
      <c r="N24" s="54">
        <f t="shared" si="2"/>
        <v>0.13999129788687339</v>
      </c>
      <c r="O24" s="54">
        <f t="shared" si="3"/>
        <v>0.1417095028877921</v>
      </c>
    </row>
    <row r="25" spans="2:15">
      <c r="N25" s="53"/>
      <c r="O25" s="53"/>
    </row>
    <row r="26" spans="2:15">
      <c r="B26" s="47" t="s">
        <v>96</v>
      </c>
      <c r="C26" s="48">
        <f>(HistoricalFS!C37-HistoricalFS!C40)/SUM(HistoricalFS!C68:C70)</f>
        <v>9.1197961694486934E-2</v>
      </c>
      <c r="D26" s="48">
        <f>(HistoricalFS!D37-HistoricalFS!D40)/SUM(HistoricalFS!D68:D70)</f>
        <v>0.10776808431252331</v>
      </c>
      <c r="E26" s="48">
        <f>(HistoricalFS!E37-HistoricalFS!E40)/SUM(HistoricalFS!E68:E70)</f>
        <v>0.10322296517401479</v>
      </c>
      <c r="F26" s="48">
        <f>(HistoricalFS!F37-HistoricalFS!F40)/SUM(HistoricalFS!F68:F70)</f>
        <v>9.4035924450981537E-2</v>
      </c>
      <c r="G26" s="48">
        <f>(HistoricalFS!G37-HistoricalFS!G40)/SUM(HistoricalFS!G68:G70)</f>
        <v>7.8283462733395023E-2</v>
      </c>
      <c r="H26" s="48">
        <f>(HistoricalFS!H37-HistoricalFS!H40)/SUM(HistoricalFS!H68:H70)</f>
        <v>8.9564125926256302E-2</v>
      </c>
      <c r="I26" s="48">
        <f>(HistoricalFS!I37-HistoricalFS!I40)/SUM(HistoricalFS!I68:I70)</f>
        <v>9.7671506488879151E-2</v>
      </c>
      <c r="J26" s="48">
        <f>(HistoricalFS!J37-HistoricalFS!J40)/SUM(HistoricalFS!J68:J70)</f>
        <v>0.11139486103828002</v>
      </c>
      <c r="K26" s="48">
        <f>(HistoricalFS!K37-HistoricalFS!K40)/SUM(HistoricalFS!K68:K70)</f>
        <v>0.10700994568435819</v>
      </c>
      <c r="L26" s="48">
        <f>(HistoricalFS!L37-HistoricalFS!L40)/SUM(HistoricalFS!L68:L70)</f>
        <v>0.11493796442518393</v>
      </c>
      <c r="M26" s="47"/>
      <c r="N26" s="52">
        <f t="shared" si="2"/>
        <v>9.9508680192835902E-2</v>
      </c>
      <c r="O26" s="52">
        <f t="shared" si="3"/>
        <v>0.10044723583144696</v>
      </c>
    </row>
    <row r="27" spans="2:15">
      <c r="B27" t="s">
        <v>70</v>
      </c>
      <c r="C27" s="53">
        <f>HistoricalFS!C65</f>
        <v>0.8908959876646666</v>
      </c>
      <c r="D27" s="53">
        <f>HistoricalFS!D65</f>
        <v>0.90151884700665186</v>
      </c>
      <c r="E27" s="53">
        <f>HistoricalFS!E65</f>
        <v>0.9033084820644125</v>
      </c>
      <c r="F27" s="53">
        <f>HistoricalFS!F65</f>
        <v>0.89668129388164497</v>
      </c>
      <c r="G27" s="53">
        <f>HistoricalFS!G65</f>
        <v>0.91604793539142892</v>
      </c>
      <c r="H27" s="53">
        <f>HistoricalFS!H65</f>
        <v>0.92022993588326329</v>
      </c>
      <c r="I27" s="53">
        <f>HistoricalFS!I65</f>
        <v>0.91780855199222544</v>
      </c>
      <c r="J27" s="53">
        <f>HistoricalFS!J65</f>
        <v>0.91395470095252629</v>
      </c>
      <c r="K27" s="53">
        <f>HistoricalFS!K65</f>
        <v>0.90787379157537718</v>
      </c>
      <c r="L27" s="53">
        <f>HistoricalFS!L65</f>
        <v>0.91508001255098836</v>
      </c>
      <c r="N27" s="53">
        <f t="shared" si="2"/>
        <v>0.9083399538963185</v>
      </c>
      <c r="O27" s="53">
        <f t="shared" si="3"/>
        <v>0.91091424626395168</v>
      </c>
    </row>
    <row r="28" spans="2:15">
      <c r="B28" t="s">
        <v>114</v>
      </c>
      <c r="C28" s="46">
        <f>HistoricalFS!C52/SUM(HistoricalFS!C68:C69)</f>
        <v>0.1131284863239404</v>
      </c>
      <c r="D28" s="46">
        <f>HistoricalFS!D52/SUM(HistoricalFS!D68:D69)</f>
        <v>0.12292764032081116</v>
      </c>
      <c r="E28" s="46">
        <f>HistoricalFS!E52/SUM(HistoricalFS!E68:E69)</f>
        <v>0.10290820227737708</v>
      </c>
      <c r="F28" s="46">
        <f>HistoricalFS!F52/SUM(HistoricalFS!F68:F69)</f>
        <v>8.8786773709497155E-2</v>
      </c>
      <c r="G28" s="46">
        <f>HistoricalFS!G52/SUM(HistoricalFS!G68:G69)</f>
        <v>7.6751141148175023E-2</v>
      </c>
      <c r="H28" s="46">
        <f>HistoricalFS!H52/SUM(HistoricalFS!H68:H69)</f>
        <v>8.7038236784543643E-2</v>
      </c>
      <c r="I28" s="46">
        <f>HistoricalFS!I52/SUM(HistoricalFS!I68:I69)</f>
        <v>0.10349336194179966</v>
      </c>
      <c r="J28" s="46">
        <f>HistoricalFS!J52/SUM(HistoricalFS!J68:J69)</f>
        <v>9.9098781193248484E-2</v>
      </c>
      <c r="K28" s="46">
        <f>HistoricalFS!K52/SUM(HistoricalFS!K68:K69)</f>
        <v>9.5810009487666034E-2</v>
      </c>
      <c r="L28" s="46">
        <f>HistoricalFS!L52/SUM(HistoricalFS!L68:L69)</f>
        <v>0.10575976460958154</v>
      </c>
      <c r="N28" s="53">
        <f t="shared" si="2"/>
        <v>9.9570239779664033E-2</v>
      </c>
      <c r="O28" s="53">
        <f t="shared" si="3"/>
        <v>0.10100349173531278</v>
      </c>
    </row>
    <row r="29" spans="2:15">
      <c r="B29" t="s">
        <v>97</v>
      </c>
      <c r="C29" s="46">
        <f>C27*C28</f>
        <v>0.10078571455657562</v>
      </c>
      <c r="D29" s="46">
        <f t="shared" ref="D29:L29" si="4">D27*D28</f>
        <v>0.11082158456726608</v>
      </c>
      <c r="E29" s="46">
        <f t="shared" si="4"/>
        <v>9.2957851991155013E-2</v>
      </c>
      <c r="F29" s="46">
        <f t="shared" si="4"/>
        <v>7.9613439129408728E-2</v>
      </c>
      <c r="G29" s="46">
        <f t="shared" si="4"/>
        <v>7.030772438772187E-2</v>
      </c>
      <c r="H29" s="46">
        <f t="shared" si="4"/>
        <v>8.0095191055632883E-2</v>
      </c>
      <c r="I29" s="46">
        <f t="shared" si="4"/>
        <v>9.4987092664610431E-2</v>
      </c>
      <c r="J29" s="46">
        <f t="shared" si="4"/>
        <v>9.057179693023526E-2</v>
      </c>
      <c r="K29" s="46">
        <f t="shared" si="4"/>
        <v>8.6983396584440223E-2</v>
      </c>
      <c r="L29" s="46">
        <f t="shared" si="4"/>
        <v>9.6778646726325454E-2</v>
      </c>
      <c r="N29" s="53">
        <f t="shared" si="2"/>
        <v>9.0390243859337166E-2</v>
      </c>
      <c r="O29" s="53">
        <f t="shared" si="3"/>
        <v>9.1764824460695144E-2</v>
      </c>
    </row>
    <row r="30" spans="2:15">
      <c r="B30" s="49" t="s">
        <v>98</v>
      </c>
      <c r="C30" s="55">
        <f>(HistoricalFS!C37-HistoricalFS!C40)/HistoricalFS!C43</f>
        <v>11.401143154065991</v>
      </c>
      <c r="D30" s="55">
        <f>(HistoricalFS!D37-HistoricalFS!D40)/HistoricalFS!D43</f>
        <v>7.1383507203179333</v>
      </c>
      <c r="E30" s="55">
        <f>(HistoricalFS!E37-HistoricalFS!E40)/HistoricalFS!E43</f>
        <v>4.3481054865110638</v>
      </c>
      <c r="F30" s="55">
        <f>(HistoricalFS!F37-HistoricalFS!F40)/HistoricalFS!F43</f>
        <v>3.4336496118400146</v>
      </c>
      <c r="G30" s="55">
        <f>(HistoricalFS!G37-HistoricalFS!G40)/HistoricalFS!G43</f>
        <v>3.6174430128840438</v>
      </c>
      <c r="H30" s="55">
        <f>(HistoricalFS!H37-HistoricalFS!H40)/HistoricalFS!H43</f>
        <v>6.747051563357104</v>
      </c>
      <c r="I30" s="55">
        <f>(HistoricalFS!I37-HistoricalFS!I40)/HistoricalFS!I43</f>
        <v>5.8267334321189512</v>
      </c>
      <c r="J30" s="55">
        <f>(HistoricalFS!J37-HistoricalFS!J40)/HistoricalFS!J43</f>
        <v>5.5133662081494936</v>
      </c>
      <c r="K30" s="55">
        <f>(HistoricalFS!K37-HistoricalFS!K40)/HistoricalFS!K43</f>
        <v>5.3684123779306931</v>
      </c>
      <c r="L30" s="55">
        <f>(HistoricalFS!L37-HistoricalFS!L40)/HistoricalFS!L43</f>
        <v>5.5512730497764311</v>
      </c>
      <c r="M30" s="49"/>
      <c r="N30" s="55">
        <f t="shared" si="2"/>
        <v>5.8945528616951721</v>
      </c>
      <c r="O30" s="63">
        <f>MEDIAN(C30:L30)</f>
        <v>5.5323196289629628</v>
      </c>
    </row>
    <row r="31" spans="2:15">
      <c r="O31" s="61"/>
    </row>
    <row r="32" spans="2:15">
      <c r="B32" s="47" t="s">
        <v>99</v>
      </c>
      <c r="C32" s="56">
        <f>HistoricalFS!C12/HistoricalFS!C80</f>
        <v>37.171823407117522</v>
      </c>
      <c r="D32" s="56">
        <f>HistoricalFS!D12/HistoricalFS!D80</f>
        <v>22.262774138422103</v>
      </c>
      <c r="E32" s="56">
        <f>HistoricalFS!E12/HistoricalFS!E80</f>
        <v>18.88853069227957</v>
      </c>
      <c r="F32" s="56">
        <f>HistoricalFS!F12/HistoricalFS!F80</f>
        <v>30.356074481074479</v>
      </c>
      <c r="G32" s="56">
        <f>HistoricalFS!G12/HistoricalFS!G80</f>
        <v>24.524403071421059</v>
      </c>
      <c r="H32" s="56">
        <f>HistoricalFS!H12/HistoricalFS!H80</f>
        <v>29.385490693739424</v>
      </c>
      <c r="I32" s="56">
        <f>HistoricalFS!I12/HistoricalFS!I80</f>
        <v>30.806946006749158</v>
      </c>
      <c r="J32" s="56">
        <f>HistoricalFS!J12/HistoricalFS!J80</f>
        <v>28.425477425066397</v>
      </c>
      <c r="K32" s="56">
        <f>HistoricalFS!K12/HistoricalFS!K80</f>
        <v>22.858431661166637</v>
      </c>
      <c r="L32" s="56">
        <f>HistoricalFS!L12/HistoricalFS!L80</f>
        <v>18.050298336496212</v>
      </c>
      <c r="M32" s="47"/>
      <c r="N32" s="62">
        <f>AVERAGE(C32:L32)</f>
        <v>26.27302499135326</v>
      </c>
      <c r="O32" s="62">
        <f t="shared" ref="O32:O36" si="5">MEDIAN(C32:L32)</f>
        <v>26.474940248243726</v>
      </c>
    </row>
    <row r="33" spans="2:15">
      <c r="B33" t="s">
        <v>100</v>
      </c>
      <c r="C33" s="57">
        <f>HistoricalFS!C22/HistoricalFS!C71</f>
        <v>1.095063337145086</v>
      </c>
      <c r="D33" s="57">
        <f>HistoricalFS!D22/HistoricalFS!D71</f>
        <v>1.1149055137375685</v>
      </c>
      <c r="E33" s="57">
        <f>HistoricalFS!E22/HistoricalFS!E71</f>
        <v>1.45599793926104</v>
      </c>
      <c r="F33" s="57">
        <f>HistoricalFS!F22/HistoricalFS!F71</f>
        <v>1.2569693016202232</v>
      </c>
      <c r="G33" s="57">
        <f>HistoricalFS!G22/HistoricalFS!G71</f>
        <v>0.98988651662653149</v>
      </c>
      <c r="H33" s="57">
        <f>HistoricalFS!H22/HistoricalFS!H71</f>
        <v>1.358278809637506</v>
      </c>
      <c r="I33" s="57">
        <f>HistoricalFS!I22/HistoricalFS!I71</f>
        <v>1.5703074740045535</v>
      </c>
      <c r="J33" s="57">
        <f>HistoricalFS!J22/HistoricalFS!J71</f>
        <v>1.0744375032741369</v>
      </c>
      <c r="K33" s="57">
        <f>HistoricalFS!K22/HistoricalFS!K71</f>
        <v>0.97726440863152142</v>
      </c>
      <c r="L33" s="57">
        <f>HistoricalFS!L22/HistoricalFS!L71</f>
        <v>0.88734185357829609</v>
      </c>
      <c r="N33" s="61">
        <f t="shared" ref="N33:N36" si="6">AVERAGE(C33:L33)</f>
        <v>1.178045265751646</v>
      </c>
      <c r="O33" s="61">
        <f t="shared" si="5"/>
        <v>1.1049844254413272</v>
      </c>
    </row>
    <row r="34" spans="2:15">
      <c r="B34" t="s">
        <v>101</v>
      </c>
      <c r="C34" s="57">
        <f>HistoricalFS!C22/HistoricalFS!C81</f>
        <v>5.0472104757819043</v>
      </c>
      <c r="D34" s="57">
        <f>HistoricalFS!D22/HistoricalFS!D81</f>
        <v>5.0932656113878068</v>
      </c>
      <c r="E34" s="57">
        <f>HistoricalFS!E22/HistoricalFS!E81</f>
        <v>6.525687896863575</v>
      </c>
      <c r="F34" s="57">
        <f>HistoricalFS!F22/HistoricalFS!F81</f>
        <v>6.1011731594116609</v>
      </c>
      <c r="G34" s="57">
        <f>HistoricalFS!G22/HistoricalFS!G81</f>
        <v>4.1321750416299343</v>
      </c>
      <c r="H34" s="57">
        <f>HistoricalFS!H22/HistoricalFS!H81</f>
        <v>5.040759709773794</v>
      </c>
      <c r="I34" s="57">
        <f>HistoricalFS!I22/HistoricalFS!I81</f>
        <v>4.9164190617678987</v>
      </c>
      <c r="J34" s="57">
        <f>HistoricalFS!J22/HistoricalFS!J81</f>
        <v>4.296118347843163</v>
      </c>
      <c r="K34" s="57">
        <f>HistoricalFS!K22/HistoricalFS!K81</f>
        <v>4.8989675617203652</v>
      </c>
      <c r="L34" s="57">
        <f>HistoricalFS!L22/HistoricalFS!L81</f>
        <v>4.6272575340988729</v>
      </c>
      <c r="N34" s="61">
        <f t="shared" si="6"/>
        <v>5.0679034400278979</v>
      </c>
      <c r="O34" s="61">
        <f t="shared" si="5"/>
        <v>4.9785893857708459</v>
      </c>
    </row>
    <row r="35" spans="2:15">
      <c r="B35" t="s">
        <v>102</v>
      </c>
      <c r="C35" s="57">
        <f>HistoricalFS!C12/HistoricalFS!C74</f>
        <v>1.5310538669997884</v>
      </c>
      <c r="D35" s="57">
        <f>HistoricalFS!D12/HistoricalFS!D74</f>
        <v>0.96765911088552437</v>
      </c>
      <c r="E35" s="57">
        <f>HistoricalFS!E12/HistoricalFS!E74</f>
        <v>1.4266417989125797</v>
      </c>
      <c r="F35" s="57">
        <f>HistoricalFS!F12/HistoricalFS!F74</f>
        <v>1.1201915675724385</v>
      </c>
      <c r="G35" s="57">
        <f>HistoricalFS!G12/HistoricalFS!G74</f>
        <v>0.86152444859937405</v>
      </c>
      <c r="H35" s="57">
        <f>HistoricalFS!H12/HistoricalFS!H74</f>
        <v>1.1065231173084336</v>
      </c>
      <c r="I35" s="57">
        <f>HistoricalFS!I12/HistoricalFS!I74</f>
        <v>1.2091472878912259</v>
      </c>
      <c r="J35" s="57">
        <f>HistoricalFS!J12/HistoricalFS!J74</f>
        <v>1.1526388327980666</v>
      </c>
      <c r="K35" s="57">
        <f>HistoricalFS!K12/HistoricalFS!K74</f>
        <v>0.9634047867055302</v>
      </c>
      <c r="L35" s="57">
        <f>HistoricalFS!L12/HistoricalFS!L74</f>
        <v>0.93864215257002392</v>
      </c>
      <c r="N35" s="61">
        <f t="shared" si="6"/>
        <v>1.1277426970242985</v>
      </c>
      <c r="O35" s="61">
        <f t="shared" si="5"/>
        <v>1.1133573424404362</v>
      </c>
    </row>
    <row r="36" spans="2:15">
      <c r="B36" s="49" t="s">
        <v>103</v>
      </c>
      <c r="C36" s="55">
        <f>HistoricalFS!C12/SUM(HistoricalFS!C68:C69)</f>
        <v>1.1526114012035995</v>
      </c>
      <c r="D36" s="55">
        <f>HistoricalFS!D12/SUM(HistoricalFS!D68:D69)</f>
        <v>1.3315673274140905</v>
      </c>
      <c r="E36" s="55">
        <f>HistoricalFS!E12/SUM(HistoricalFS!E68:E69)</f>
        <v>1.4681461695839964</v>
      </c>
      <c r="F36" s="55">
        <f>HistoricalFS!F12/SUM(HistoricalFS!F68:F69)</f>
        <v>1.3284153297444596</v>
      </c>
      <c r="G36" s="55">
        <f>HistoricalFS!G12/SUM(HistoricalFS!G68:G69)</f>
        <v>0.66598921407882639</v>
      </c>
      <c r="H36" s="55">
        <f>HistoricalFS!H12/SUM(HistoricalFS!H68:H69)</f>
        <v>0.89119482735395805</v>
      </c>
      <c r="I36" s="55">
        <f>HistoricalFS!I12/SUM(HistoricalFS!I68:I69)</f>
        <v>1.224235617540566</v>
      </c>
      <c r="J36" s="55">
        <f>HistoricalFS!J12/SUM(HistoricalFS!J68:J69)</f>
        <v>1.133034061307076</v>
      </c>
      <c r="K36" s="55">
        <f>HistoricalFS!K12/SUM(HistoricalFS!K68:K69)</f>
        <v>1.1418643263757116</v>
      </c>
      <c r="L36" s="55">
        <f>HistoricalFS!L12/SUM(HistoricalFS!L68:L69)</f>
        <v>1.1678594736900325</v>
      </c>
      <c r="M36" s="49"/>
      <c r="N36" s="63">
        <f t="shared" si="6"/>
        <v>1.1504917748292318</v>
      </c>
      <c r="O36" s="63">
        <f t="shared" si="5"/>
        <v>1.160235437446816</v>
      </c>
    </row>
    <row r="37" spans="2:15">
      <c r="N37" s="53"/>
    </row>
    <row r="38" spans="2:15">
      <c r="B38" s="47" t="s">
        <v>104</v>
      </c>
      <c r="C38" s="59">
        <f>365/C32</f>
        <v>9.8192654151615049</v>
      </c>
      <c r="D38" s="59">
        <f t="shared" ref="D38:L38" si="7">365/D32</f>
        <v>16.395081661007669</v>
      </c>
      <c r="E38" s="59">
        <f t="shared" si="7"/>
        <v>19.323895857563382</v>
      </c>
      <c r="F38" s="59">
        <f t="shared" si="7"/>
        <v>12.023952577516555</v>
      </c>
      <c r="G38" s="59">
        <f t="shared" si="7"/>
        <v>14.883134930421374</v>
      </c>
      <c r="H38" s="59">
        <f t="shared" si="7"/>
        <v>12.421095968894718</v>
      </c>
      <c r="I38" s="59">
        <f t="shared" si="7"/>
        <v>11.847977398345041</v>
      </c>
      <c r="J38" s="59">
        <f t="shared" si="7"/>
        <v>12.840593476826974</v>
      </c>
      <c r="K38" s="59">
        <f t="shared" si="7"/>
        <v>15.967849649986499</v>
      </c>
      <c r="L38" s="59">
        <f t="shared" si="7"/>
        <v>20.221272424179283</v>
      </c>
      <c r="M38" s="47"/>
      <c r="N38" s="59">
        <f>AVERAGE(C38:L38)</f>
        <v>14.574411935990302</v>
      </c>
      <c r="O38" s="59">
        <f>MEDIAN(C38:L38)</f>
        <v>13.861864203624174</v>
      </c>
    </row>
    <row r="39" spans="2:15">
      <c r="B39" t="s">
        <v>105</v>
      </c>
      <c r="C39" s="58">
        <f>365/C33</f>
        <v>333.31405373462962</v>
      </c>
      <c r="D39" s="58">
        <f t="shared" ref="D39:L39" si="8">365/D33</f>
        <v>327.3820027819105</v>
      </c>
      <c r="E39" s="58">
        <f t="shared" si="8"/>
        <v>250.68716799506447</v>
      </c>
      <c r="F39" s="58">
        <f t="shared" si="8"/>
        <v>290.3809977932778</v>
      </c>
      <c r="G39" s="58">
        <f t="shared" si="8"/>
        <v>368.72913598610893</v>
      </c>
      <c r="H39" s="58">
        <f t="shared" si="8"/>
        <v>268.72244299932078</v>
      </c>
      <c r="I39" s="58">
        <f t="shared" si="8"/>
        <v>232.43855489599585</v>
      </c>
      <c r="J39" s="58">
        <f t="shared" si="8"/>
        <v>339.71263929985162</v>
      </c>
      <c r="K39" s="58">
        <f t="shared" si="8"/>
        <v>373.49155128970182</v>
      </c>
      <c r="L39" s="58">
        <f t="shared" si="8"/>
        <v>411.34090376566871</v>
      </c>
      <c r="N39" s="58">
        <f t="shared" ref="N39:N41" si="9">AVERAGE(C39:L39)</f>
        <v>319.61994505415305</v>
      </c>
      <c r="O39" s="58">
        <f t="shared" ref="O39:O41" si="10">MEDIAN(C39:L39)</f>
        <v>330.34802825827006</v>
      </c>
    </row>
    <row r="40" spans="2:15">
      <c r="B40" t="s">
        <v>106</v>
      </c>
      <c r="C40" s="58">
        <f>365/C34</f>
        <v>72.317174358268645</v>
      </c>
      <c r="D40" s="58">
        <f t="shared" ref="D40:L40" si="11">365/D34</f>
        <v>71.663256513446441</v>
      </c>
      <c r="E40" s="58">
        <f t="shared" si="11"/>
        <v>55.932800613316033</v>
      </c>
      <c r="F40" s="58">
        <f t="shared" si="11"/>
        <v>59.824560041694852</v>
      </c>
      <c r="G40" s="58">
        <f t="shared" si="11"/>
        <v>88.331204831058159</v>
      </c>
      <c r="H40" s="58">
        <f t="shared" si="11"/>
        <v>72.409720164260619</v>
      </c>
      <c r="I40" s="58">
        <f t="shared" si="11"/>
        <v>74.241026937347641</v>
      </c>
      <c r="J40" s="58">
        <f t="shared" si="11"/>
        <v>84.960415530276478</v>
      </c>
      <c r="K40" s="58">
        <f t="shared" si="11"/>
        <v>74.505494351920831</v>
      </c>
      <c r="L40" s="58">
        <f t="shared" si="11"/>
        <v>78.880416166653077</v>
      </c>
      <c r="N40" s="58">
        <f t="shared" si="9"/>
        <v>73.306606950824275</v>
      </c>
      <c r="O40" s="58">
        <f t="shared" si="10"/>
        <v>73.32537355080413</v>
      </c>
    </row>
    <row r="41" spans="2:15">
      <c r="B41" s="49" t="s">
        <v>107</v>
      </c>
      <c r="C41" s="60">
        <f>SUM(C38,C40)-C39</f>
        <v>-251.17761396119948</v>
      </c>
      <c r="D41" s="60">
        <f t="shared" ref="D41:L41" si="12">SUM(D38,D40)-D39</f>
        <v>-239.32366460745641</v>
      </c>
      <c r="E41" s="60">
        <f t="shared" si="12"/>
        <v>-175.43047152418507</v>
      </c>
      <c r="F41" s="60">
        <f t="shared" si="12"/>
        <v>-218.53248517406638</v>
      </c>
      <c r="G41" s="60">
        <f t="shared" si="12"/>
        <v>-265.51479622462938</v>
      </c>
      <c r="H41" s="60">
        <f t="shared" si="12"/>
        <v>-183.89162686616544</v>
      </c>
      <c r="I41" s="60">
        <f t="shared" si="12"/>
        <v>-146.34955056030316</v>
      </c>
      <c r="J41" s="60">
        <f t="shared" si="12"/>
        <v>-241.91163029274816</v>
      </c>
      <c r="K41" s="60">
        <f t="shared" si="12"/>
        <v>-283.0182072877945</v>
      </c>
      <c r="L41" s="60">
        <f t="shared" si="12"/>
        <v>-312.23921517483632</v>
      </c>
      <c r="M41" s="49"/>
      <c r="N41" s="60">
        <f t="shared" si="9"/>
        <v>-231.73892616733846</v>
      </c>
      <c r="O41" s="60">
        <f t="shared" si="10"/>
        <v>-240.61764745010228</v>
      </c>
    </row>
    <row r="42" spans="2:15">
      <c r="N42" s="53"/>
    </row>
    <row r="43" spans="2:15">
      <c r="B43" s="47" t="s">
        <v>108</v>
      </c>
      <c r="C43" s="48">
        <f>HistoricalFS!C90/HistoricalFS!C12</f>
        <v>0.16301808826335565</v>
      </c>
      <c r="D43" s="48">
        <f>HistoricalFS!D90/HistoricalFS!D12</f>
        <v>0.1828423608641252</v>
      </c>
      <c r="E43" s="48">
        <f>HistoricalFS!E90/HistoricalFS!E12</f>
        <v>7.4508610208379886E-2</v>
      </c>
      <c r="F43" s="48">
        <f>HistoricalFS!F90/HistoricalFS!F12</f>
        <v>0.15900844507683362</v>
      </c>
      <c r="G43" s="48">
        <f>HistoricalFS!G90/HistoricalFS!G12</f>
        <v>5.7811699159566549E-2</v>
      </c>
      <c r="H43" s="48">
        <f>HistoricalFS!H90/HistoricalFS!H12</f>
        <v>0.15928933469416545</v>
      </c>
      <c r="I43" s="48">
        <f>HistoricalFS!I90/HistoricalFS!I12</f>
        <v>0.13125573370941904</v>
      </c>
      <c r="J43" s="48">
        <f>HistoricalFS!J90/HistoricalFS!J12</f>
        <v>0.17661930879681795</v>
      </c>
      <c r="K43" s="48">
        <f>HistoricalFS!K90/HistoricalFS!K12</f>
        <v>0.18560374732556448</v>
      </c>
      <c r="L43" s="48">
        <f>HistoricalFS!L90/HistoricalFS!L12</f>
        <v>0.18196309837276706</v>
      </c>
      <c r="M43" s="47"/>
      <c r="N43" s="52">
        <f>AVERAGE(C43:L43)</f>
        <v>0.14719204264709948</v>
      </c>
      <c r="O43" s="52">
        <f>MEDIAN(C43:L43)</f>
        <v>0.16115371147876056</v>
      </c>
    </row>
    <row r="44" spans="2:15">
      <c r="B44" t="s">
        <v>109</v>
      </c>
      <c r="C44" s="46">
        <f>HistoricalFS!C90/HistoricalFS!C85</f>
        <v>7.0104498855407885E-2</v>
      </c>
      <c r="D44" s="46">
        <f>HistoricalFS!D90/HistoricalFS!D85</f>
        <v>8.8082556673277676E-2</v>
      </c>
      <c r="E44" s="46">
        <f>HistoricalFS!E90/HistoricalFS!E85</f>
        <v>4.2446598438298767E-2</v>
      </c>
      <c r="F44" s="46">
        <f>HistoricalFS!F90/HistoricalFS!F85</f>
        <v>8.1578483510530819E-2</v>
      </c>
      <c r="G44" s="46">
        <f>HistoricalFS!G90/HistoricalFS!G85</f>
        <v>2.0421721657645647E-2</v>
      </c>
      <c r="H44" s="46">
        <f>HistoricalFS!H90/HistoricalFS!H85</f>
        <v>7.3837165075649497E-2</v>
      </c>
      <c r="I44" s="46">
        <f>HistoricalFS!I90/HistoricalFS!I85</f>
        <v>7.1631664094871234E-2</v>
      </c>
      <c r="J44" s="46">
        <f>HistoricalFS!J90/HistoricalFS!J85</f>
        <v>9.0475018347076552E-2</v>
      </c>
      <c r="K44" s="46">
        <f>HistoricalFS!K90/HistoricalFS!K85</f>
        <v>9.1656053993587769E-2</v>
      </c>
      <c r="L44" s="46">
        <f>HistoricalFS!L90/HistoricalFS!L85</f>
        <v>8.822454267326614E-2</v>
      </c>
      <c r="N44" s="53">
        <f t="shared" si="2"/>
        <v>7.1845830331961208E-2</v>
      </c>
      <c r="O44" s="53">
        <f t="shared" ref="O44:O45" si="13">MEDIAN(C44:L44)</f>
        <v>7.7707824293090158E-2</v>
      </c>
    </row>
    <row r="45" spans="2:15" ht="15" thickBot="1">
      <c r="B45" s="88" t="s">
        <v>110</v>
      </c>
      <c r="C45" s="89">
        <f>HistoricalFS!C90/HistoricalFS!C70</f>
        <v>0.22784228072192206</v>
      </c>
      <c r="D45" s="89">
        <f>HistoricalFS!D90/HistoricalFS!D70</f>
        <v>0.29794073623161821</v>
      </c>
      <c r="E45" s="89">
        <f>HistoricalFS!E90/HistoricalFS!E70</f>
        <v>0.13761479815672994</v>
      </c>
      <c r="F45" s="89">
        <f>HistoricalFS!F90/HistoricalFS!F70</f>
        <v>0.2671590643505391</v>
      </c>
      <c r="G45" s="89">
        <f>HistoricalFS!G90/HistoricalFS!G70</f>
        <v>9.6636817917852613E-2</v>
      </c>
      <c r="H45" s="89">
        <f>HistoricalFS!H90/HistoricalFS!H70</f>
        <v>0.34670602021569252</v>
      </c>
      <c r="I45" s="89">
        <f>HistoricalFS!I90/HistoricalFS!I70</f>
        <v>0.25468489850862586</v>
      </c>
      <c r="J45" s="89">
        <f>HistoricalFS!J90/HistoricalFS!J70</f>
        <v>0.45274992230247008</v>
      </c>
      <c r="K45" s="89">
        <f>HistoricalFS!K90/HistoricalFS!K70</f>
        <v>0.47741595937090081</v>
      </c>
      <c r="L45" s="89">
        <f>HistoricalFS!L90/HistoricalFS!L70</f>
        <v>0.47675215032682983</v>
      </c>
      <c r="M45" s="88"/>
      <c r="N45" s="90">
        <f t="shared" si="2"/>
        <v>0.3035502648103181</v>
      </c>
      <c r="O45" s="90">
        <f t="shared" si="13"/>
        <v>0.28254990029107863</v>
      </c>
    </row>
    <row r="46" spans="2:15" ht="15" thickTop="1"/>
  </sheetData>
  <mergeCells count="1">
    <mergeCell ref="B8:O8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881FE5DE-20AA-4717-A52F-3757AF299CE3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</x14:sparklines>
        </x14:sparklineGroup>
        <x14:sparklineGroup displayEmptyCellsAs="gap" markers="1" xr2:uid="{EA532F75-E4FE-4100-B556-10CC7788D9C6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2199-25F5-42C0-A0F8-CB13B4C0C351}">
  <dimension ref="A1:L61"/>
  <sheetViews>
    <sheetView showGridLines="0" zoomScaleNormal="100" workbookViewId="0">
      <pane ySplit="8" topLeftCell="A73" activePane="bottomLeft" state="frozen"/>
      <selection pane="bottomLeft" activeCell="C15" sqref="C15"/>
    </sheetView>
  </sheetViews>
  <sheetFormatPr defaultRowHeight="14.4" outlineLevelRow="1"/>
  <cols>
    <col min="1" max="1" width="1.88671875" customWidth="1"/>
    <col min="2" max="2" width="26.5546875" style="77" bestFit="1" customWidth="1"/>
    <col min="3" max="12" width="12.77734375" style="65" customWidth="1"/>
  </cols>
  <sheetData>
    <row r="1" spans="1:12"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>
      <c r="B2" s="104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2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2"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05"/>
    </row>
    <row r="6" spans="1:12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</row>
    <row r="8" spans="1:12">
      <c r="B8" s="76" t="s">
        <v>146</v>
      </c>
      <c r="C8" s="82">
        <f>HistoricalFS!C9</f>
        <v>42825</v>
      </c>
      <c r="D8" s="82">
        <f>HistoricalFS!D9</f>
        <v>43190</v>
      </c>
      <c r="E8" s="82">
        <f>HistoricalFS!E9</f>
        <v>43555</v>
      </c>
      <c r="F8" s="82">
        <f>HistoricalFS!F9</f>
        <v>43921</v>
      </c>
      <c r="G8" s="82">
        <f>HistoricalFS!G9</f>
        <v>44286</v>
      </c>
      <c r="H8" s="82">
        <f>HistoricalFS!H9</f>
        <v>44651</v>
      </c>
      <c r="I8" s="82">
        <f>HistoricalFS!I9</f>
        <v>45016</v>
      </c>
      <c r="J8" s="82">
        <f>HistoricalFS!J9</f>
        <v>45382</v>
      </c>
      <c r="K8" s="82">
        <f>HistoricalFS!K9</f>
        <v>45747</v>
      </c>
      <c r="L8" s="82">
        <f>HistoricalFS!L9</f>
        <v>46112</v>
      </c>
    </row>
    <row r="9" spans="1:12" ht="15" thickBot="1">
      <c r="A9" t="s">
        <v>56</v>
      </c>
      <c r="B9" s="103" t="s">
        <v>147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</row>
    <row r="10" spans="1:12" ht="15.6" outlineLevel="1" thickTop="1" thickBot="1">
      <c r="B10"/>
      <c r="C10"/>
      <c r="D10"/>
      <c r="E10"/>
      <c r="F10"/>
      <c r="G10"/>
      <c r="H10"/>
      <c r="I10"/>
      <c r="J10"/>
      <c r="K10"/>
      <c r="L10"/>
    </row>
    <row r="11" spans="1:12" ht="15" customHeight="1" outlineLevel="1" thickTop="1">
      <c r="B11" s="81" t="s">
        <v>12</v>
      </c>
      <c r="C11" s="85">
        <f t="shared" ref="C11:L11" si="0">C37/C37</f>
        <v>1</v>
      </c>
      <c r="D11" s="85">
        <f t="shared" si="0"/>
        <v>1</v>
      </c>
      <c r="E11" s="85">
        <f t="shared" si="0"/>
        <v>1</v>
      </c>
      <c r="F11" s="85">
        <f t="shared" si="0"/>
        <v>1</v>
      </c>
      <c r="G11" s="85">
        <f t="shared" si="0"/>
        <v>1</v>
      </c>
      <c r="H11" s="85">
        <f t="shared" si="0"/>
        <v>1</v>
      </c>
      <c r="I11" s="85">
        <f t="shared" si="0"/>
        <v>1</v>
      </c>
      <c r="J11" s="85">
        <f t="shared" si="0"/>
        <v>1</v>
      </c>
      <c r="K11" s="85">
        <f t="shared" si="0"/>
        <v>1</v>
      </c>
      <c r="L11" s="85">
        <f t="shared" si="0"/>
        <v>1</v>
      </c>
    </row>
    <row r="12" spans="1:12" outlineLevel="1">
      <c r="C12" s="86"/>
    </row>
    <row r="13" spans="1:12" outlineLevel="1">
      <c r="B13" s="77" t="s">
        <v>57</v>
      </c>
      <c r="C13" s="87">
        <f t="shared" ref="C13:L13" si="1">C40/C$37</f>
        <v>0.81284010080472702</v>
      </c>
      <c r="D13" s="87">
        <f t="shared" si="1"/>
        <v>0.79283716669694471</v>
      </c>
      <c r="E13" s="87">
        <f t="shared" si="1"/>
        <v>0.77574044976835932</v>
      </c>
      <c r="F13" s="87">
        <f t="shared" si="1"/>
        <v>0.75567432405028501</v>
      </c>
      <c r="G13" s="87">
        <f t="shared" si="1"/>
        <v>0.72373565054781508</v>
      </c>
      <c r="H13" s="87">
        <f t="shared" si="1"/>
        <v>0.7820701250804335</v>
      </c>
      <c r="I13" s="87">
        <f t="shared" si="1"/>
        <v>0.78541892021414972</v>
      </c>
      <c r="J13" s="87">
        <f t="shared" si="1"/>
        <v>0.73002009919458621</v>
      </c>
      <c r="K13" s="87">
        <f t="shared" si="1"/>
        <v>0.74318460356037475</v>
      </c>
      <c r="L13" s="87">
        <f t="shared" si="1"/>
        <v>0.73166663509443253</v>
      </c>
    </row>
    <row r="14" spans="1:12" outlineLevel="1">
      <c r="C14" s="87"/>
    </row>
    <row r="15" spans="1:12" outlineLevel="1">
      <c r="B15" s="97" t="s">
        <v>59</v>
      </c>
      <c r="C15" s="98">
        <f t="shared" ref="C15:L15" si="2">C42/C$37</f>
        <v>0.20432697052843524</v>
      </c>
      <c r="D15" s="98">
        <f t="shared" si="2"/>
        <v>0.22919326651706784</v>
      </c>
      <c r="E15" s="98">
        <f t="shared" si="2"/>
        <v>0.23249410121107722</v>
      </c>
      <c r="F15" s="98">
        <f t="shared" si="2"/>
        <v>0.25278583627042345</v>
      </c>
      <c r="G15" s="98">
        <f t="shared" si="2"/>
        <v>0.29570218761459727</v>
      </c>
      <c r="H15" s="98">
        <f t="shared" si="2"/>
        <v>0.24881778908925495</v>
      </c>
      <c r="I15" s="98">
        <f t="shared" si="2"/>
        <v>0.24911227344716316</v>
      </c>
      <c r="J15" s="98">
        <f t="shared" si="2"/>
        <v>0.27541124375862724</v>
      </c>
      <c r="K15" s="98">
        <f t="shared" si="2"/>
        <v>0.27252342078477804</v>
      </c>
      <c r="L15" s="98">
        <f t="shared" si="2"/>
        <v>0.27805792873515317</v>
      </c>
    </row>
    <row r="16" spans="1:12" outlineLevel="1">
      <c r="C16" s="87"/>
      <c r="D16" s="87"/>
      <c r="E16" s="87"/>
      <c r="F16" s="87"/>
      <c r="G16" s="87"/>
      <c r="H16" s="87"/>
      <c r="I16" s="87"/>
      <c r="J16" s="87"/>
      <c r="K16" s="87"/>
      <c r="L16" s="87"/>
    </row>
    <row r="17" spans="2:12" outlineLevel="1">
      <c r="B17" s="77" t="s">
        <v>18</v>
      </c>
      <c r="C17" s="87">
        <f t="shared" ref="C17:L17" si="3">C44/C$37</f>
        <v>6.0930272343841504E-2</v>
      </c>
      <c r="D17" s="87">
        <f t="shared" si="3"/>
        <v>7.4486404331372519E-2</v>
      </c>
      <c r="E17" s="87">
        <f t="shared" si="3"/>
        <v>8.8364825798777843E-2</v>
      </c>
      <c r="F17" s="87">
        <f t="shared" si="3"/>
        <v>0.1049509032494859</v>
      </c>
      <c r="G17" s="87">
        <f t="shared" si="3"/>
        <v>0.12042281158121151</v>
      </c>
      <c r="H17" s="87">
        <f t="shared" si="3"/>
        <v>9.1428629009620357E-2</v>
      </c>
      <c r="I17" s="87">
        <f t="shared" si="3"/>
        <v>7.6870501462809049E-2</v>
      </c>
      <c r="J17" s="87">
        <f t="shared" si="3"/>
        <v>8.5971607524017252E-2</v>
      </c>
      <c r="K17" s="87">
        <f t="shared" si="3"/>
        <v>9.2187532456741661E-2</v>
      </c>
      <c r="L17" s="87">
        <f t="shared" si="3"/>
        <v>9.9190172194964857E-2</v>
      </c>
    </row>
    <row r="18" spans="2:12" outlineLevel="1">
      <c r="C18" s="87"/>
      <c r="D18" s="87"/>
      <c r="E18" s="87"/>
      <c r="F18" s="87"/>
      <c r="G18" s="87"/>
      <c r="H18" s="87"/>
      <c r="I18" s="87"/>
      <c r="J18" s="87"/>
      <c r="K18" s="87"/>
      <c r="L18" s="87"/>
    </row>
    <row r="19" spans="2:12" outlineLevel="1">
      <c r="B19" s="77" t="s">
        <v>20</v>
      </c>
      <c r="C19" s="87">
        <f t="shared" ref="C19:L19" si="4">C46/C$37</f>
        <v>3.0340117254584575E-2</v>
      </c>
      <c r="D19" s="87">
        <f t="shared" si="4"/>
        <v>2.5251840347164829E-2</v>
      </c>
      <c r="E19" s="87">
        <f t="shared" si="4"/>
        <v>1.4790520413064783E-2</v>
      </c>
      <c r="F19" s="87">
        <f t="shared" si="4"/>
        <v>1.436283160627406E-2</v>
      </c>
      <c r="G19" s="87">
        <f t="shared" si="4"/>
        <v>4.8105647138044251E-2</v>
      </c>
      <c r="H19" s="87">
        <f t="shared" si="4"/>
        <v>2.8214713973337094E-2</v>
      </c>
      <c r="I19" s="87">
        <f t="shared" si="4"/>
        <v>1.3715261137659232E-2</v>
      </c>
      <c r="J19" s="87">
        <f t="shared" si="4"/>
        <v>1.7565383558703108E-2</v>
      </c>
      <c r="K19" s="87">
        <f t="shared" si="4"/>
        <v>1.8512286824120813E-2</v>
      </c>
      <c r="L19" s="87">
        <f t="shared" si="4"/>
        <v>2.7321979957945785E-2</v>
      </c>
    </row>
    <row r="20" spans="2:12" outlineLevel="1">
      <c r="C20" s="87"/>
      <c r="D20" s="87"/>
      <c r="E20" s="87"/>
      <c r="F20" s="87"/>
      <c r="G20" s="87"/>
      <c r="H20" s="87"/>
      <c r="I20" s="87"/>
      <c r="J20" s="87"/>
      <c r="K20" s="87"/>
      <c r="L20" s="87"/>
    </row>
    <row r="21" spans="2:12" outlineLevel="1">
      <c r="B21" s="77" t="s">
        <v>19</v>
      </c>
      <c r="C21" s="87">
        <f t="shared" ref="C21:L21" si="5">C48/C$37</f>
        <v>-8.9520124755719608E-3</v>
      </c>
      <c r="D21" s="87">
        <f t="shared" si="5"/>
        <v>-9.8561241278020996E-3</v>
      </c>
      <c r="E21" s="87">
        <f t="shared" si="5"/>
        <v>-4.1102374119580459E-3</v>
      </c>
      <c r="F21" s="87">
        <f t="shared" si="5"/>
        <v>-1.7697958198629414E-3</v>
      </c>
      <c r="G21" s="87">
        <f t="shared" si="5"/>
        <v>2.0244173902600649E-3</v>
      </c>
      <c r="H21" s="87">
        <f t="shared" si="5"/>
        <v>1.0839632460164712E-3</v>
      </c>
      <c r="I21" s="87">
        <f t="shared" si="5"/>
        <v>9.8517108704284373E-3</v>
      </c>
      <c r="J21" s="87">
        <f t="shared" si="5"/>
        <v>8.6937080733804125E-3</v>
      </c>
      <c r="K21" s="87">
        <f t="shared" si="5"/>
        <v>8.3432001827963686E-3</v>
      </c>
      <c r="L21" s="87">
        <f t="shared" si="5"/>
        <v>9.2632934891738808E-3</v>
      </c>
    </row>
    <row r="22" spans="2:12" outlineLevel="1">
      <c r="C22" s="87"/>
      <c r="D22" s="87"/>
      <c r="E22" s="87"/>
      <c r="F22" s="87"/>
      <c r="G22" s="87"/>
      <c r="H22" s="87"/>
      <c r="I22" s="87"/>
      <c r="J22" s="87"/>
      <c r="K22" s="87"/>
      <c r="L22" s="87"/>
    </row>
    <row r="23" spans="2:12" outlineLevel="1">
      <c r="B23" s="97" t="s">
        <v>60</v>
      </c>
      <c r="C23" s="98">
        <f t="shared" ref="C23:L23" si="6">C50/C$37</f>
        <v>0.18268882791475025</v>
      </c>
      <c r="D23" s="98">
        <f t="shared" si="6"/>
        <v>0.18981482666066224</v>
      </c>
      <c r="E23" s="98">
        <f t="shared" si="6"/>
        <v>0.16303003323732224</v>
      </c>
      <c r="F23" s="98">
        <f t="shared" si="6"/>
        <v>0.16396756044707456</v>
      </c>
      <c r="G23" s="98">
        <f t="shared" si="6"/>
        <v>0.22136060578116992</v>
      </c>
      <c r="H23" s="98">
        <f t="shared" si="6"/>
        <v>0.18451991080695521</v>
      </c>
      <c r="I23" s="98">
        <f t="shared" si="6"/>
        <v>0.1761053222515849</v>
      </c>
      <c r="J23" s="98">
        <f t="shared" si="6"/>
        <v>0.19831131171993269</v>
      </c>
      <c r="K23" s="98">
        <f t="shared" si="6"/>
        <v>0.19050497496936084</v>
      </c>
      <c r="L23" s="98">
        <f t="shared" si="6"/>
        <v>0.1969264430089602</v>
      </c>
    </row>
    <row r="24" spans="2:12" outlineLevel="1">
      <c r="C24" s="87"/>
      <c r="D24" s="87"/>
      <c r="E24" s="87"/>
      <c r="F24" s="87"/>
      <c r="G24" s="87"/>
      <c r="H24" s="87"/>
      <c r="I24" s="87"/>
      <c r="J24" s="87"/>
      <c r="K24" s="87"/>
      <c r="L24" s="87"/>
    </row>
    <row r="25" spans="2:12" outlineLevel="1">
      <c r="B25" s="77" t="s">
        <v>21</v>
      </c>
      <c r="C25" s="87">
        <f t="shared" ref="C25:L25" si="7">C52/C$37</f>
        <v>3.8315008192029057E-2</v>
      </c>
      <c r="D25" s="87">
        <f t="shared" si="7"/>
        <v>4.2745693063100179E-2</v>
      </c>
      <c r="E25" s="87">
        <f t="shared" si="7"/>
        <v>3.6833779958017863E-2</v>
      </c>
      <c r="F25" s="87">
        <f t="shared" si="7"/>
        <v>3.721096267842508E-2</v>
      </c>
      <c r="G25" s="87">
        <f t="shared" si="7"/>
        <v>5.6983918319905125E-2</v>
      </c>
      <c r="H25" s="87">
        <f t="shared" si="7"/>
        <v>4.2871969977241089E-2</v>
      </c>
      <c r="I25" s="87">
        <f t="shared" si="7"/>
        <v>4.5987202132369384E-2</v>
      </c>
      <c r="J25" s="87">
        <f t="shared" si="7"/>
        <v>5.6540246774062587E-2</v>
      </c>
      <c r="K25" s="87">
        <f t="shared" si="7"/>
        <v>5.5187885586090855E-2</v>
      </c>
      <c r="L25" s="87">
        <f t="shared" si="7"/>
        <v>5.4640171247797839E-2</v>
      </c>
    </row>
    <row r="26" spans="2:12" outlineLevel="1">
      <c r="C26" s="87"/>
      <c r="D26" s="87"/>
      <c r="E26" s="87"/>
      <c r="F26" s="87"/>
      <c r="G26" s="87"/>
      <c r="H26" s="87"/>
      <c r="I26" s="87"/>
      <c r="J26" s="87"/>
      <c r="K26" s="87"/>
      <c r="L26" s="87"/>
    </row>
    <row r="27" spans="2:12" outlineLevel="1">
      <c r="B27" s="77" t="s">
        <v>22</v>
      </c>
      <c r="C27" s="87">
        <f t="shared" ref="C27:L27" si="8">C54/C$37</f>
        <v>1.2663100337551077E-2</v>
      </c>
      <c r="D27" s="87">
        <f t="shared" si="8"/>
        <v>2.0602676915125261E-2</v>
      </c>
      <c r="E27" s="87">
        <f t="shared" si="8"/>
        <v>2.902327316363355E-2</v>
      </c>
      <c r="F27" s="87">
        <f t="shared" si="8"/>
        <v>3.6915996708447925E-2</v>
      </c>
      <c r="G27" s="87">
        <f t="shared" si="8"/>
        <v>4.5440021273538675E-2</v>
      </c>
      <c r="H27" s="87">
        <f t="shared" si="8"/>
        <v>2.0994050438119805E-2</v>
      </c>
      <c r="I27" s="87">
        <f t="shared" si="8"/>
        <v>2.2331229261657971E-2</v>
      </c>
      <c r="J27" s="87">
        <f t="shared" si="8"/>
        <v>2.5714066433010285E-2</v>
      </c>
      <c r="K27" s="87">
        <f t="shared" si="8"/>
        <v>2.5206165222990799E-2</v>
      </c>
      <c r="L27" s="87">
        <f t="shared" si="8"/>
        <v>2.5631286821118034E-2</v>
      </c>
    </row>
    <row r="28" spans="2:12" outlineLevel="1">
      <c r="C28" s="87"/>
      <c r="D28" s="87"/>
      <c r="E28" s="87"/>
      <c r="F28" s="87"/>
      <c r="G28" s="87"/>
      <c r="H28" s="87"/>
      <c r="I28" s="87"/>
      <c r="J28" s="87"/>
      <c r="K28" s="87"/>
      <c r="L28" s="87"/>
    </row>
    <row r="29" spans="2:12" outlineLevel="1">
      <c r="B29" s="97" t="s">
        <v>63</v>
      </c>
      <c r="C29" s="98">
        <f t="shared" ref="C29:L29" si="9">C56/C$37</f>
        <v>0.13171071938517012</v>
      </c>
      <c r="D29" s="98">
        <f t="shared" si="9"/>
        <v>0.12646645668243681</v>
      </c>
      <c r="E29" s="98">
        <f t="shared" si="9"/>
        <v>9.7172980115670812E-2</v>
      </c>
      <c r="F29" s="98">
        <f t="shared" si="9"/>
        <v>8.9840601060201544E-2</v>
      </c>
      <c r="G29" s="98">
        <f t="shared" si="9"/>
        <v>0.11893666618772611</v>
      </c>
      <c r="H29" s="98">
        <f t="shared" si="9"/>
        <v>0.12065389039159431</v>
      </c>
      <c r="I29" s="98">
        <f t="shared" si="9"/>
        <v>0.10778689085755755</v>
      </c>
      <c r="J29" s="98">
        <f t="shared" si="9"/>
        <v>0.11605699851285982</v>
      </c>
      <c r="K29" s="98">
        <f t="shared" si="9"/>
        <v>0.11011092416027918</v>
      </c>
      <c r="L29" s="98">
        <f t="shared" si="9"/>
        <v>0.11665498494004432</v>
      </c>
    </row>
    <row r="30" spans="2:12" outlineLevel="1">
      <c r="C30" s="87"/>
      <c r="D30" s="87"/>
      <c r="E30" s="87"/>
      <c r="F30" s="87"/>
      <c r="G30" s="87"/>
      <c r="H30" s="87"/>
      <c r="I30" s="87"/>
      <c r="J30" s="87"/>
      <c r="K30" s="87"/>
      <c r="L30" s="87"/>
    </row>
    <row r="31" spans="2:12" outlineLevel="1">
      <c r="B31" s="77" t="s">
        <v>24</v>
      </c>
      <c r="C31" s="87">
        <f t="shared" ref="C31:L31" si="10">C58/C$37</f>
        <v>3.356099936174553E-2</v>
      </c>
      <c r="D31" s="87">
        <f t="shared" si="10"/>
        <v>3.4148450833241646E-2</v>
      </c>
      <c r="E31" s="87">
        <f t="shared" si="10"/>
        <v>2.707900418237771E-2</v>
      </c>
      <c r="F31" s="87">
        <f t="shared" si="10"/>
        <v>2.3003993772195769E-2</v>
      </c>
      <c r="G31" s="87">
        <f t="shared" si="10"/>
        <v>3.6928461292667705E-3</v>
      </c>
      <c r="H31" s="87">
        <f t="shared" si="10"/>
        <v>2.2989233783377215E-2</v>
      </c>
      <c r="I31" s="87">
        <f t="shared" si="10"/>
        <v>2.3249763805403036E-2</v>
      </c>
      <c r="J31" s="87">
        <f t="shared" si="10"/>
        <v>2.8593801617501316E-2</v>
      </c>
      <c r="K31" s="87">
        <f t="shared" si="10"/>
        <v>2.6204274942356828E-2</v>
      </c>
      <c r="L31" s="87">
        <f t="shared" si="10"/>
        <v>2.6096345829623595E-2</v>
      </c>
    </row>
    <row r="32" spans="2:12" outlineLevel="1">
      <c r="C32" s="87"/>
      <c r="D32" s="87"/>
      <c r="E32" s="87"/>
      <c r="F32" s="87"/>
      <c r="G32" s="87"/>
      <c r="H32" s="87"/>
      <c r="I32" s="87"/>
      <c r="J32" s="87"/>
      <c r="K32" s="87"/>
      <c r="L32" s="87"/>
    </row>
    <row r="33" spans="1:12" ht="15" outlineLevel="1" thickBot="1">
      <c r="B33" s="99" t="s">
        <v>65</v>
      </c>
      <c r="C33" s="100">
        <f t="shared" ref="C33:L33" si="11">C60/C$37</f>
        <v>9.8149720023424591E-2</v>
      </c>
      <c r="D33" s="100">
        <f t="shared" si="11"/>
        <v>9.2318005849195153E-2</v>
      </c>
      <c r="E33" s="100">
        <f t="shared" si="11"/>
        <v>7.0093975933293098E-2</v>
      </c>
      <c r="F33" s="100">
        <f t="shared" si="11"/>
        <v>6.6836607288005778E-2</v>
      </c>
      <c r="G33" s="100">
        <f t="shared" si="11"/>
        <v>0.11524382005845935</v>
      </c>
      <c r="H33" s="100">
        <f t="shared" si="11"/>
        <v>9.7664656608217104E-2</v>
      </c>
      <c r="I33" s="100">
        <f t="shared" si="11"/>
        <v>8.4537127052154507E-2</v>
      </c>
      <c r="J33" s="100">
        <f t="shared" si="11"/>
        <v>8.7463196895358503E-2</v>
      </c>
      <c r="K33" s="100">
        <f t="shared" si="11"/>
        <v>8.3906649217922347E-2</v>
      </c>
      <c r="L33" s="100">
        <f t="shared" si="11"/>
        <v>9.0558639110420738E-2</v>
      </c>
    </row>
    <row r="34" spans="1:12" ht="15" outlineLevel="1" thickTop="1"/>
    <row r="35" spans="1:12" ht="15" thickBot="1">
      <c r="A35" s="101" t="s">
        <v>56</v>
      </c>
      <c r="B35" s="103" t="s">
        <v>145</v>
      </c>
      <c r="C35" s="108"/>
      <c r="D35" s="102"/>
      <c r="E35" s="102"/>
      <c r="F35" s="102"/>
      <c r="G35" s="102"/>
      <c r="H35" s="102"/>
      <c r="I35" s="102"/>
      <c r="J35" s="102"/>
      <c r="K35" s="102"/>
      <c r="L35" s="102"/>
    </row>
    <row r="36" spans="1:12" ht="15.6" thickTop="1" thickBot="1">
      <c r="B36" t="s">
        <v>155</v>
      </c>
      <c r="C36" s="109">
        <v>0</v>
      </c>
      <c r="D36"/>
      <c r="E36"/>
      <c r="F36"/>
      <c r="G36"/>
      <c r="H36"/>
      <c r="I36"/>
      <c r="J36"/>
      <c r="K36"/>
      <c r="L36"/>
    </row>
    <row r="37" spans="1:12" ht="15" outlineLevel="1" thickTop="1">
      <c r="B37" s="78" t="s">
        <v>12</v>
      </c>
      <c r="C37" s="84">
        <f>HistoricalFS!C12*(1+$C$36)</f>
        <v>303954</v>
      </c>
      <c r="D37" s="84">
        <f>HistoricalFS!D12*(1+$C$36)</f>
        <v>390823</v>
      </c>
      <c r="E37" s="84">
        <f>HistoricalFS!E12*(1+$C$36)</f>
        <v>568337</v>
      </c>
      <c r="F37" s="84">
        <f>HistoricalFS!F12*(1+$C$36)</f>
        <v>596679</v>
      </c>
      <c r="G37" s="84">
        <f>HistoricalFS!G12*(1+$C$36)</f>
        <v>466307</v>
      </c>
      <c r="H37" s="84">
        <f>HistoricalFS!H12*(1+$C$36)</f>
        <v>694673</v>
      </c>
      <c r="I37" s="84">
        <f>HistoricalFS!I12*(1+$C$36)</f>
        <v>876396</v>
      </c>
      <c r="J37" s="84">
        <f>HistoricalFS!J12*(1+$C$36)</f>
        <v>899041</v>
      </c>
      <c r="K37" s="84">
        <f>HistoricalFS!K12*(1+$C$36)</f>
        <v>962820</v>
      </c>
      <c r="L37" s="84">
        <f>HistoricalFS!L12*(1+$C$36)</f>
        <v>1055780</v>
      </c>
    </row>
    <row r="38" spans="1:12" outlineLevel="1">
      <c r="B38" s="79" t="s">
        <v>144</v>
      </c>
      <c r="C38" s="83">
        <f>HistoricalFS!C15*(1+$C$36)</f>
        <v>5218</v>
      </c>
      <c r="D38" s="83">
        <f>HistoricalFS!D15*(1+$C$36)</f>
        <v>8610</v>
      </c>
      <c r="E38" s="83">
        <f>HistoricalFS!E15*(1+$C$36)</f>
        <v>4680</v>
      </c>
      <c r="F38" s="83">
        <f>HistoricalFS!F15*(1+$C$36)</f>
        <v>5048</v>
      </c>
      <c r="G38" s="83">
        <f>HistoricalFS!G15*(1+$C$36)</f>
        <v>9064</v>
      </c>
      <c r="H38" s="83">
        <f>HistoricalFS!H15*(1+$C$36)</f>
        <v>21457</v>
      </c>
      <c r="I38" s="83">
        <f>HistoricalFS!I15*(1+$C$36)</f>
        <v>30263</v>
      </c>
      <c r="J38" s="83">
        <f>HistoricalFS!J15*(1+$C$36)</f>
        <v>4883</v>
      </c>
      <c r="K38" s="83">
        <f>HistoricalFS!K15*(1+$C$36)</f>
        <v>15124</v>
      </c>
      <c r="L38" s="83">
        <f>HistoricalFS!L15*(1+$C$36)</f>
        <v>10267</v>
      </c>
    </row>
    <row r="39" spans="1:12" outlineLevel="1">
      <c r="B39" s="80"/>
      <c r="C39" s="84"/>
      <c r="D39" s="84"/>
      <c r="E39" s="84"/>
      <c r="F39" s="84"/>
      <c r="G39" s="84"/>
      <c r="H39" s="84"/>
      <c r="I39" s="84"/>
      <c r="J39" s="84"/>
      <c r="K39" s="84"/>
      <c r="L39" s="84"/>
    </row>
    <row r="40" spans="1:12" outlineLevel="1">
      <c r="B40" s="80" t="s">
        <v>57</v>
      </c>
      <c r="C40" s="84">
        <f>HistoricalFS!C22*(1+$C$36)</f>
        <v>247066</v>
      </c>
      <c r="D40" s="84">
        <f>HistoricalFS!D22*(1+$C$36)</f>
        <v>309859</v>
      </c>
      <c r="E40" s="84">
        <f>HistoricalFS!E22*(1+$C$36)</f>
        <v>440882</v>
      </c>
      <c r="F40" s="84">
        <f>HistoricalFS!F22*(1+$C$36)</f>
        <v>450895</v>
      </c>
      <c r="G40" s="84">
        <f>HistoricalFS!G22*(1+$C$36)</f>
        <v>337483</v>
      </c>
      <c r="H40" s="84">
        <f>HistoricalFS!H22*(1+$C$36)</f>
        <v>543283</v>
      </c>
      <c r="I40" s="84">
        <f>HistoricalFS!I22*(1+$C$36)</f>
        <v>688338</v>
      </c>
      <c r="J40" s="84">
        <f>HistoricalFS!J22*(1+$C$36)</f>
        <v>656318</v>
      </c>
      <c r="K40" s="84">
        <f>HistoricalFS!K22*(1+$C$36)</f>
        <v>715553</v>
      </c>
      <c r="L40" s="84">
        <f>HistoricalFS!L22*(1+$C$36)</f>
        <v>772479</v>
      </c>
    </row>
    <row r="41" spans="1:12" outlineLevel="1">
      <c r="B41" s="80"/>
      <c r="C41" s="84"/>
      <c r="D41" s="84"/>
      <c r="E41" s="84"/>
      <c r="F41" s="84"/>
      <c r="G41" s="84"/>
      <c r="H41" s="84"/>
      <c r="I41" s="84"/>
      <c r="J41" s="84"/>
      <c r="K41" s="84"/>
      <c r="L41" s="84"/>
    </row>
    <row r="42" spans="1:12" outlineLevel="1">
      <c r="B42" s="91" t="s">
        <v>59</v>
      </c>
      <c r="C42" s="92">
        <f>HistoricalFS!C25*(1+$C$36)</f>
        <v>62106</v>
      </c>
      <c r="D42" s="92">
        <f>HistoricalFS!D25*(1+$C$36)</f>
        <v>89574</v>
      </c>
      <c r="E42" s="92">
        <f>HistoricalFS!E25*(1+$C$36)</f>
        <v>132135</v>
      </c>
      <c r="F42" s="92">
        <f>HistoricalFS!F25*(1+$C$36)</f>
        <v>150832</v>
      </c>
      <c r="G42" s="92">
        <f>HistoricalFS!G25*(1+$C$36)</f>
        <v>137888</v>
      </c>
      <c r="H42" s="92">
        <f>HistoricalFS!H25*(1+$C$36)</f>
        <v>172847</v>
      </c>
      <c r="I42" s="92">
        <f>HistoricalFS!I25*(1+$C$36)</f>
        <v>218321</v>
      </c>
      <c r="J42" s="92">
        <f>HistoricalFS!J25*(1+$C$36)</f>
        <v>247606</v>
      </c>
      <c r="K42" s="92">
        <f>HistoricalFS!K25*(1+$C$36)</f>
        <v>262391</v>
      </c>
      <c r="L42" s="92">
        <f>HistoricalFS!L25*(1+$C$36)</f>
        <v>293568</v>
      </c>
    </row>
    <row r="43" spans="1:12" outlineLevel="1">
      <c r="B43" s="80"/>
      <c r="C43" s="84"/>
      <c r="D43" s="84"/>
      <c r="E43" s="84"/>
      <c r="F43" s="84"/>
      <c r="G43" s="84"/>
      <c r="H43" s="84"/>
      <c r="I43" s="84"/>
      <c r="J43" s="84"/>
      <c r="K43" s="84"/>
      <c r="L43" s="84"/>
    </row>
    <row r="44" spans="1:12" outlineLevel="1">
      <c r="B44" s="80" t="s">
        <v>18</v>
      </c>
      <c r="C44" s="84">
        <f>HistoricalFS!C28*(1+$C$36)</f>
        <v>18520</v>
      </c>
      <c r="D44" s="84">
        <f>HistoricalFS!D28*(1+$C$36)</f>
        <v>29111</v>
      </c>
      <c r="E44" s="84">
        <f>HistoricalFS!E28*(1+$C$36)</f>
        <v>50221</v>
      </c>
      <c r="F44" s="84">
        <f>HistoricalFS!F28*(1+$C$36)</f>
        <v>62622</v>
      </c>
      <c r="G44" s="84">
        <f>HistoricalFS!G28*(1+$C$36)</f>
        <v>56154</v>
      </c>
      <c r="H44" s="84">
        <f>HistoricalFS!H28*(1+$C$36)</f>
        <v>63513</v>
      </c>
      <c r="I44" s="84">
        <f>HistoricalFS!I28*(1+$C$36)</f>
        <v>67369</v>
      </c>
      <c r="J44" s="84">
        <f>HistoricalFS!J28*(1+$C$36)</f>
        <v>77292</v>
      </c>
      <c r="K44" s="84">
        <f>HistoricalFS!K28*(1+$C$36)</f>
        <v>88760</v>
      </c>
      <c r="L44" s="84">
        <f>HistoricalFS!L28*(1+$C$36)</f>
        <v>104723</v>
      </c>
    </row>
    <row r="45" spans="1:12" outlineLevel="1">
      <c r="B45" s="80"/>
      <c r="C45" s="84"/>
      <c r="D45" s="84"/>
      <c r="E45" s="84"/>
      <c r="F45" s="84"/>
      <c r="G45" s="84"/>
      <c r="H45" s="84"/>
      <c r="I45" s="84"/>
      <c r="J45" s="84"/>
      <c r="K45" s="84"/>
      <c r="L45" s="84"/>
    </row>
    <row r="46" spans="1:12" outlineLevel="1">
      <c r="B46" s="80" t="s">
        <v>20</v>
      </c>
      <c r="C46" s="84">
        <f>HistoricalFS!C31*(1+$C$36)</f>
        <v>9222</v>
      </c>
      <c r="D46" s="84">
        <f>HistoricalFS!D31*(1+$C$36)</f>
        <v>9869</v>
      </c>
      <c r="E46" s="84">
        <f>HistoricalFS!E31*(1+$C$36)</f>
        <v>8406</v>
      </c>
      <c r="F46" s="84">
        <f>HistoricalFS!F31*(1+$C$36)</f>
        <v>8570</v>
      </c>
      <c r="G46" s="84">
        <f>HistoricalFS!G31*(1+$C$36)</f>
        <v>22432</v>
      </c>
      <c r="H46" s="84">
        <f>HistoricalFS!H31*(1+$C$36)</f>
        <v>19600</v>
      </c>
      <c r="I46" s="84">
        <f>HistoricalFS!I31*(1+$C$36)</f>
        <v>12020</v>
      </c>
      <c r="J46" s="84">
        <f>HistoricalFS!J31*(1+$C$36)</f>
        <v>15792</v>
      </c>
      <c r="K46" s="84">
        <f>HistoricalFS!K31*(1+$C$36)</f>
        <v>17824</v>
      </c>
      <c r="L46" s="84">
        <f>HistoricalFS!L31*(1+$C$36)</f>
        <v>28846</v>
      </c>
    </row>
    <row r="47" spans="1:12" outlineLevel="1">
      <c r="B47" s="80"/>
      <c r="C47" s="84"/>
      <c r="D47" s="84"/>
      <c r="E47" s="84"/>
      <c r="F47" s="84"/>
      <c r="G47" s="84"/>
      <c r="H47" s="84"/>
      <c r="I47" s="84"/>
      <c r="J47" s="84"/>
      <c r="K47" s="84"/>
      <c r="L47" s="84"/>
    </row>
    <row r="48" spans="1:12" outlineLevel="1">
      <c r="B48" s="80" t="s">
        <v>19</v>
      </c>
      <c r="C48" s="84">
        <f>HistoricalFS!C34*(1+$C$36)</f>
        <v>-2721</v>
      </c>
      <c r="D48" s="84">
        <f>HistoricalFS!D34*(1+$C$36)</f>
        <v>-3852</v>
      </c>
      <c r="E48" s="84">
        <f>HistoricalFS!E34*(1+$C$36)</f>
        <v>-2336</v>
      </c>
      <c r="F48" s="84">
        <f>HistoricalFS!F34*(1+$C$36)</f>
        <v>-1056</v>
      </c>
      <c r="G48" s="84">
        <f>HistoricalFS!G34*(1+$C$36)</f>
        <v>944</v>
      </c>
      <c r="H48" s="84">
        <f>HistoricalFS!H34*(1+$C$36)</f>
        <v>753</v>
      </c>
      <c r="I48" s="84">
        <f>HistoricalFS!I34*(1+$C$36)</f>
        <v>8634</v>
      </c>
      <c r="J48" s="84">
        <f>HistoricalFS!J34*(1+$C$36)</f>
        <v>7816</v>
      </c>
      <c r="K48" s="84">
        <f>HistoricalFS!K34*(1+$C$36)</f>
        <v>8033</v>
      </c>
      <c r="L48" s="84">
        <f>HistoricalFS!L34*(1+$C$36)</f>
        <v>9780</v>
      </c>
    </row>
    <row r="49" spans="2:12" outlineLevel="1">
      <c r="B49" s="80"/>
      <c r="C49" s="84"/>
      <c r="D49" s="84"/>
      <c r="E49" s="84"/>
      <c r="F49" s="84"/>
      <c r="G49" s="84"/>
      <c r="H49" s="84"/>
      <c r="I49" s="84"/>
      <c r="J49" s="84"/>
      <c r="K49" s="84"/>
      <c r="L49" s="84"/>
    </row>
    <row r="50" spans="2:12" outlineLevel="1">
      <c r="B50" s="93" t="s">
        <v>60</v>
      </c>
      <c r="C50" s="94">
        <f>HistoricalFS!C37*(1+$C$36)</f>
        <v>55529</v>
      </c>
      <c r="D50" s="94">
        <f>HistoricalFS!D37*(1+$C$36)</f>
        <v>74184</v>
      </c>
      <c r="E50" s="94">
        <f>HistoricalFS!E37*(1+$C$36)</f>
        <v>92656</v>
      </c>
      <c r="F50" s="94">
        <f>HistoricalFS!F37*(1+$C$36)</f>
        <v>97836</v>
      </c>
      <c r="G50" s="94">
        <f>HistoricalFS!G37*(1+$C$36)</f>
        <v>103222</v>
      </c>
      <c r="H50" s="94">
        <f>HistoricalFS!H37*(1+$C$36)</f>
        <v>128181</v>
      </c>
      <c r="I50" s="94">
        <f>HistoricalFS!I37*(1+$C$36)</f>
        <v>154338</v>
      </c>
      <c r="J50" s="94">
        <f>HistoricalFS!J37*(1+$C$36)</f>
        <v>178290</v>
      </c>
      <c r="K50" s="94">
        <f>HistoricalFS!K37*(1+$C$36)</f>
        <v>183422</v>
      </c>
      <c r="L50" s="94">
        <f>HistoricalFS!L37*(1+$C$36)</f>
        <v>207911</v>
      </c>
    </row>
    <row r="51" spans="2:12" outlineLevel="1">
      <c r="B51" s="80"/>
      <c r="C51" s="84"/>
      <c r="D51" s="84"/>
      <c r="E51" s="84"/>
      <c r="F51" s="84"/>
      <c r="G51" s="84"/>
      <c r="H51" s="84"/>
      <c r="I51" s="84"/>
      <c r="J51" s="84"/>
      <c r="K51" s="84"/>
      <c r="L51" s="84"/>
    </row>
    <row r="52" spans="2:12" outlineLevel="1">
      <c r="B52" s="80" t="s">
        <v>21</v>
      </c>
      <c r="C52" s="84">
        <f>HistoricalFS!C40*(1+$C$36)</f>
        <v>11646</v>
      </c>
      <c r="D52" s="84">
        <f>HistoricalFS!D40*(1+$C$36)</f>
        <v>16706</v>
      </c>
      <c r="E52" s="84">
        <f>HistoricalFS!E40*(1+$C$36)</f>
        <v>20934</v>
      </c>
      <c r="F52" s="84">
        <f>HistoricalFS!F40*(1+$C$36)</f>
        <v>22203</v>
      </c>
      <c r="G52" s="84">
        <f>HistoricalFS!G40*(1+$C$36)</f>
        <v>26572</v>
      </c>
      <c r="H52" s="84">
        <f>HistoricalFS!H40*(1+$C$36)</f>
        <v>29782</v>
      </c>
      <c r="I52" s="84">
        <f>HistoricalFS!I40*(1+$C$36)</f>
        <v>40303</v>
      </c>
      <c r="J52" s="84">
        <f>HistoricalFS!J40*(1+$C$36)</f>
        <v>50832</v>
      </c>
      <c r="K52" s="84">
        <f>HistoricalFS!K40*(1+$C$36)</f>
        <v>53136</v>
      </c>
      <c r="L52" s="84">
        <f>HistoricalFS!L40*(1+$C$36)</f>
        <v>57688</v>
      </c>
    </row>
    <row r="53" spans="2:12" outlineLevel="1">
      <c r="B53" s="80"/>
      <c r="C53" s="84"/>
      <c r="D53" s="84"/>
      <c r="E53" s="84"/>
      <c r="F53" s="84"/>
      <c r="G53" s="84"/>
      <c r="H53" s="84"/>
      <c r="I53" s="84"/>
      <c r="J53" s="84"/>
      <c r="K53" s="84"/>
      <c r="L53" s="84"/>
    </row>
    <row r="54" spans="2:12" outlineLevel="1">
      <c r="B54" s="80" t="s">
        <v>22</v>
      </c>
      <c r="C54" s="84">
        <f>HistoricalFS!C43*(1+$C$36)</f>
        <v>3849</v>
      </c>
      <c r="D54" s="84">
        <f>HistoricalFS!D43*(1+$C$36)</f>
        <v>8052</v>
      </c>
      <c r="E54" s="84">
        <f>HistoricalFS!E43*(1+$C$36)</f>
        <v>16495</v>
      </c>
      <c r="F54" s="84">
        <f>HistoricalFS!F43*(1+$C$36)</f>
        <v>22027</v>
      </c>
      <c r="G54" s="84">
        <f>HistoricalFS!G43*(1+$C$36)</f>
        <v>21189</v>
      </c>
      <c r="H54" s="84">
        <f>HistoricalFS!H43*(1+$C$36)</f>
        <v>14584</v>
      </c>
      <c r="I54" s="84">
        <f>HistoricalFS!I43*(1+$C$36)</f>
        <v>19571</v>
      </c>
      <c r="J54" s="84">
        <f>HistoricalFS!J43*(1+$C$36)</f>
        <v>23118</v>
      </c>
      <c r="K54" s="84">
        <f>HistoricalFS!K43*(1+$C$36)</f>
        <v>24269</v>
      </c>
      <c r="L54" s="84">
        <f>HistoricalFS!L43*(1+$C$36)</f>
        <v>27061</v>
      </c>
    </row>
    <row r="55" spans="2:12" outlineLevel="1">
      <c r="B55" s="80"/>
      <c r="C55" s="84"/>
      <c r="D55" s="84"/>
      <c r="E55" s="84"/>
      <c r="F55" s="84"/>
      <c r="G55" s="84"/>
      <c r="H55" s="84"/>
      <c r="I55" s="84"/>
      <c r="J55" s="84"/>
      <c r="K55" s="84"/>
      <c r="L55" s="84"/>
    </row>
    <row r="56" spans="2:12" outlineLevel="1">
      <c r="B56" s="93" t="s">
        <v>63</v>
      </c>
      <c r="C56" s="94">
        <f>HistoricalFS!C46*(1+$C$36)</f>
        <v>40034</v>
      </c>
      <c r="D56" s="94">
        <f>HistoricalFS!D46*(1+$C$36)</f>
        <v>49426</v>
      </c>
      <c r="E56" s="94">
        <f>HistoricalFS!E46*(1+$C$36)</f>
        <v>55227</v>
      </c>
      <c r="F56" s="94">
        <f>HistoricalFS!F46*(1+$C$36)</f>
        <v>53606</v>
      </c>
      <c r="G56" s="94">
        <f>HistoricalFS!G46*(1+$C$36)</f>
        <v>55461</v>
      </c>
      <c r="H56" s="94">
        <f>HistoricalFS!H46*(1+$C$36)</f>
        <v>83815</v>
      </c>
      <c r="I56" s="94">
        <f>HistoricalFS!I46*(1+$C$36)</f>
        <v>94464</v>
      </c>
      <c r="J56" s="94">
        <f>HistoricalFS!J46*(1+$C$36)</f>
        <v>104340</v>
      </c>
      <c r="K56" s="94">
        <f>HistoricalFS!K46*(1+$C$36)</f>
        <v>106017</v>
      </c>
      <c r="L56" s="94">
        <f>HistoricalFS!L46*(1+$C$36)</f>
        <v>123162</v>
      </c>
    </row>
    <row r="57" spans="2:12" outlineLevel="1">
      <c r="B57" s="80"/>
      <c r="C57" s="84"/>
      <c r="D57" s="84"/>
      <c r="E57" s="84"/>
      <c r="F57" s="84"/>
      <c r="G57" s="84"/>
      <c r="H57" s="84"/>
      <c r="I57" s="84"/>
      <c r="J57" s="84"/>
      <c r="K57" s="84"/>
      <c r="L57" s="84"/>
    </row>
    <row r="58" spans="2:12" outlineLevel="1">
      <c r="B58" s="80" t="s">
        <v>24</v>
      </c>
      <c r="C58" s="84">
        <f>HistoricalFS!C49*(1+$C$36)</f>
        <v>10201</v>
      </c>
      <c r="D58" s="84">
        <f>HistoricalFS!D49*(1+$C$36)</f>
        <v>13346</v>
      </c>
      <c r="E58" s="84">
        <f>HistoricalFS!E49*(1+$C$36)</f>
        <v>15390</v>
      </c>
      <c r="F58" s="84">
        <f>HistoricalFS!F49*(1+$C$36)</f>
        <v>13726</v>
      </c>
      <c r="G58" s="84">
        <f>HistoricalFS!G49*(1+$C$36)</f>
        <v>1722</v>
      </c>
      <c r="H58" s="84">
        <f>HistoricalFS!H49*(1+$C$36)</f>
        <v>15970</v>
      </c>
      <c r="I58" s="84">
        <f>HistoricalFS!I49*(1+$C$36)</f>
        <v>20376</v>
      </c>
      <c r="J58" s="84">
        <f>HistoricalFS!J49*(1+$C$36)</f>
        <v>25707</v>
      </c>
      <c r="K58" s="84">
        <f>HistoricalFS!K49*(1+$C$36)</f>
        <v>25230</v>
      </c>
      <c r="L58" s="84">
        <f>HistoricalFS!L49*(1+$C$36)</f>
        <v>27552</v>
      </c>
    </row>
    <row r="59" spans="2:12" outlineLevel="1">
      <c r="B59" s="80"/>
      <c r="C59" s="84"/>
      <c r="D59" s="84"/>
      <c r="E59" s="84"/>
      <c r="F59" s="84"/>
      <c r="G59" s="84"/>
      <c r="H59" s="84"/>
      <c r="I59" s="84"/>
      <c r="J59" s="84"/>
      <c r="K59" s="84"/>
      <c r="L59" s="84"/>
    </row>
    <row r="60" spans="2:12" ht="15" outlineLevel="1" thickBot="1">
      <c r="B60" s="95" t="s">
        <v>65</v>
      </c>
      <c r="C60" s="96">
        <f>HistoricalFS!C52*(1+$C$36)</f>
        <v>29833</v>
      </c>
      <c r="D60" s="96">
        <f>HistoricalFS!D52*(1+$C$36)</f>
        <v>36080</v>
      </c>
      <c r="E60" s="96">
        <f>HistoricalFS!E52*(1+$C$36)</f>
        <v>39837</v>
      </c>
      <c r="F60" s="96">
        <f>HistoricalFS!F52*(1+$C$36)</f>
        <v>39880</v>
      </c>
      <c r="G60" s="96">
        <f>HistoricalFS!G52*(1+$C$36)</f>
        <v>53739</v>
      </c>
      <c r="H60" s="96">
        <f>HistoricalFS!H52*(1+$C$36)</f>
        <v>67845</v>
      </c>
      <c r="I60" s="96">
        <f>HistoricalFS!I52*(1+$C$36)</f>
        <v>74088</v>
      </c>
      <c r="J60" s="96">
        <f>HistoricalFS!J52*(1+$C$36)</f>
        <v>78633</v>
      </c>
      <c r="K60" s="96">
        <f>HistoricalFS!K52*(1+$C$36)</f>
        <v>80787</v>
      </c>
      <c r="L60" s="96">
        <f>HistoricalFS!L52*(1+$C$36)</f>
        <v>95610</v>
      </c>
    </row>
    <row r="61" spans="2:12" ht="15" thickTop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EA79-CA72-4219-A56D-1C6E2BFEA699}">
  <dimension ref="B12:P50"/>
  <sheetViews>
    <sheetView showGridLines="0" topLeftCell="A24" workbookViewId="0">
      <selection activeCell="E3" sqref="E3"/>
    </sheetView>
  </sheetViews>
  <sheetFormatPr defaultRowHeight="14.4"/>
  <cols>
    <col min="1" max="1" width="1.88671875" customWidth="1"/>
    <col min="2" max="2" width="10.5546875" style="65" bestFit="1" customWidth="1"/>
    <col min="3" max="3" width="11" customWidth="1"/>
    <col min="4" max="4" width="12" bestFit="1" customWidth="1"/>
    <col min="5" max="5" width="12.77734375" customWidth="1"/>
    <col min="8" max="8" width="16.44140625" bestFit="1" customWidth="1"/>
    <col min="9" max="9" width="12" bestFit="1" customWidth="1"/>
    <col min="10" max="10" width="13.21875" bestFit="1" customWidth="1"/>
    <col min="11" max="12" width="12" bestFit="1" customWidth="1"/>
    <col min="13" max="13" width="12.77734375" bestFit="1" customWidth="1"/>
    <col min="14" max="16" width="12" bestFit="1" customWidth="1"/>
  </cols>
  <sheetData>
    <row r="12" spans="2:16">
      <c r="B12" s="195" t="s">
        <v>143</v>
      </c>
      <c r="C12" s="195"/>
      <c r="D12" s="195"/>
      <c r="E12" s="195"/>
      <c r="F12" s="64"/>
      <c r="H12" s="194" t="s">
        <v>119</v>
      </c>
      <c r="I12" s="194"/>
      <c r="J12" s="194"/>
      <c r="K12" s="194"/>
      <c r="L12" s="194"/>
      <c r="M12" s="194"/>
      <c r="N12" s="194"/>
      <c r="O12" s="194"/>
      <c r="P12" s="194"/>
    </row>
    <row r="13" spans="2:16" ht="15" thickBot="1"/>
    <row r="14" spans="2:16" ht="15.6" thickTop="1" thickBot="1">
      <c r="B14" s="74" t="s">
        <v>118</v>
      </c>
      <c r="C14" s="74" t="s">
        <v>54</v>
      </c>
      <c r="D14" s="75" t="s">
        <v>12</v>
      </c>
      <c r="E14" s="74" t="s">
        <v>142</v>
      </c>
      <c r="H14" s="70" t="s">
        <v>120</v>
      </c>
      <c r="I14" s="70"/>
    </row>
    <row r="15" spans="2:16" ht="15" thickTop="1">
      <c r="B15" s="65">
        <v>1</v>
      </c>
      <c r="C15" s="66">
        <f>'Ratio Analysis'!C9</f>
        <v>42825</v>
      </c>
      <c r="D15" s="67">
        <v>303954</v>
      </c>
      <c r="H15" t="s">
        <v>121</v>
      </c>
      <c r="I15">
        <v>0.96035655567347755</v>
      </c>
    </row>
    <row r="16" spans="2:16">
      <c r="B16" s="65">
        <f>B15+1</f>
        <v>2</v>
      </c>
      <c r="C16" s="66">
        <f>C15+365</f>
        <v>43190</v>
      </c>
      <c r="D16" s="67">
        <v>390823</v>
      </c>
      <c r="E16" s="53">
        <f>D16/D15-1</f>
        <v>0.28579653500200686</v>
      </c>
      <c r="H16" t="s">
        <v>122</v>
      </c>
      <c r="I16">
        <v>0.9222847140250251</v>
      </c>
    </row>
    <row r="17" spans="2:16">
      <c r="B17" s="65">
        <f t="shared" ref="B17:B28" si="0">B16+1</f>
        <v>3</v>
      </c>
      <c r="C17" s="66">
        <f>C16+365</f>
        <v>43555</v>
      </c>
      <c r="D17" s="67">
        <v>568337</v>
      </c>
      <c r="E17" s="53">
        <f t="shared" ref="E17:E28" si="1">D17/D16-1</f>
        <v>0.45420561225925793</v>
      </c>
      <c r="H17" t="s">
        <v>123</v>
      </c>
      <c r="I17">
        <v>0.91257030327815314</v>
      </c>
    </row>
    <row r="18" spans="2:16">
      <c r="B18" s="65">
        <f t="shared" si="0"/>
        <v>4</v>
      </c>
      <c r="C18" s="66">
        <f t="shared" ref="C18:C28" si="2">C17+365</f>
        <v>43920</v>
      </c>
      <c r="D18" s="67">
        <v>596679</v>
      </c>
      <c r="E18" s="53">
        <f t="shared" si="1"/>
        <v>4.9868299969912266E-2</v>
      </c>
      <c r="H18" t="s">
        <v>124</v>
      </c>
      <c r="I18">
        <v>76221.481206982353</v>
      </c>
    </row>
    <row r="19" spans="2:16" ht="15" thickBot="1">
      <c r="B19" s="65">
        <f t="shared" si="0"/>
        <v>5</v>
      </c>
      <c r="C19" s="66">
        <f t="shared" si="2"/>
        <v>44285</v>
      </c>
      <c r="D19" s="67">
        <v>466307</v>
      </c>
      <c r="E19" s="53">
        <f t="shared" si="1"/>
        <v>-0.21849604226057895</v>
      </c>
      <c r="H19" s="68" t="s">
        <v>125</v>
      </c>
      <c r="I19" s="68">
        <v>10</v>
      </c>
    </row>
    <row r="20" spans="2:16">
      <c r="B20" s="65">
        <f t="shared" si="0"/>
        <v>6</v>
      </c>
      <c r="C20" s="66">
        <f t="shared" si="2"/>
        <v>44650</v>
      </c>
      <c r="D20" s="67">
        <v>694673</v>
      </c>
      <c r="E20" s="53">
        <f t="shared" si="1"/>
        <v>0.48973315862725619</v>
      </c>
    </row>
    <row r="21" spans="2:16" ht="15" thickBot="1">
      <c r="B21" s="65">
        <f t="shared" si="0"/>
        <v>7</v>
      </c>
      <c r="C21" s="66">
        <f t="shared" si="2"/>
        <v>45015</v>
      </c>
      <c r="D21" s="67">
        <v>876396</v>
      </c>
      <c r="E21" s="53">
        <f t="shared" si="1"/>
        <v>0.26159502384575184</v>
      </c>
      <c r="H21" t="s">
        <v>126</v>
      </c>
    </row>
    <row r="22" spans="2:16">
      <c r="B22" s="65">
        <f t="shared" si="0"/>
        <v>8</v>
      </c>
      <c r="C22" s="66">
        <f t="shared" si="2"/>
        <v>45380</v>
      </c>
      <c r="D22" s="67">
        <v>899041</v>
      </c>
      <c r="E22" s="53">
        <f t="shared" si="1"/>
        <v>2.5838776078393799E-2</v>
      </c>
      <c r="H22" s="69"/>
      <c r="I22" s="69" t="s">
        <v>130</v>
      </c>
      <c r="J22" s="69" t="s">
        <v>131</v>
      </c>
      <c r="K22" s="69" t="s">
        <v>132</v>
      </c>
      <c r="L22" s="69" t="s">
        <v>133</v>
      </c>
      <c r="M22" s="69" t="s">
        <v>134</v>
      </c>
    </row>
    <row r="23" spans="2:16">
      <c r="B23" s="65">
        <f t="shared" si="0"/>
        <v>9</v>
      </c>
      <c r="C23" s="66">
        <f t="shared" si="2"/>
        <v>45745</v>
      </c>
      <c r="D23" s="67">
        <v>962820</v>
      </c>
      <c r="E23" s="53">
        <f t="shared" si="1"/>
        <v>7.0941147289167006E-2</v>
      </c>
      <c r="H23" t="s">
        <v>127</v>
      </c>
      <c r="I23">
        <v>1</v>
      </c>
      <c r="J23">
        <v>551573403340.90906</v>
      </c>
      <c r="K23">
        <v>551573403340.90906</v>
      </c>
      <c r="L23">
        <v>94.939851531603267</v>
      </c>
      <c r="M23">
        <v>1.0300345948916296E-5</v>
      </c>
    </row>
    <row r="24" spans="2:16">
      <c r="B24" s="65">
        <f t="shared" si="0"/>
        <v>10</v>
      </c>
      <c r="C24" s="66">
        <f t="shared" si="2"/>
        <v>46110</v>
      </c>
      <c r="D24" s="67">
        <v>1055780</v>
      </c>
      <c r="E24" s="53">
        <f t="shared" si="1"/>
        <v>9.6549718535136275E-2</v>
      </c>
      <c r="H24" t="s">
        <v>128</v>
      </c>
      <c r="I24">
        <v>8</v>
      </c>
      <c r="J24">
        <v>46477713579.090912</v>
      </c>
      <c r="K24">
        <v>5809714197.386364</v>
      </c>
    </row>
    <row r="25" spans="2:16" ht="15" thickBot="1">
      <c r="B25" s="65">
        <f t="shared" si="0"/>
        <v>11</v>
      </c>
      <c r="C25" s="71">
        <f t="shared" si="2"/>
        <v>46475</v>
      </c>
      <c r="D25" s="72">
        <f>$I$28+B25*$I$29</f>
        <v>1131196</v>
      </c>
      <c r="E25" s="73">
        <f t="shared" si="1"/>
        <v>7.1431548239216491E-2</v>
      </c>
      <c r="H25" s="68" t="s">
        <v>35</v>
      </c>
      <c r="I25" s="68">
        <v>9</v>
      </c>
      <c r="J25" s="68">
        <v>598051116920</v>
      </c>
      <c r="K25" s="68"/>
      <c r="L25" s="68"/>
      <c r="M25" s="68"/>
    </row>
    <row r="26" spans="2:16" ht="15" thickBot="1">
      <c r="B26" s="65">
        <f t="shared" si="0"/>
        <v>12</v>
      </c>
      <c r="C26" s="71">
        <f t="shared" si="2"/>
        <v>46840</v>
      </c>
      <c r="D26" s="72">
        <f t="shared" ref="D26:D28" si="3">$I$28+B26*$I$29</f>
        <v>1212962.3636363638</v>
      </c>
      <c r="E26" s="73">
        <f t="shared" si="1"/>
        <v>7.2283108883309133E-2</v>
      </c>
    </row>
    <row r="27" spans="2:16">
      <c r="B27" s="65">
        <f t="shared" si="0"/>
        <v>13</v>
      </c>
      <c r="C27" s="71">
        <f t="shared" si="2"/>
        <v>47205</v>
      </c>
      <c r="D27" s="72">
        <f t="shared" si="3"/>
        <v>1294728.7272727275</v>
      </c>
      <c r="E27" s="73">
        <f t="shared" si="1"/>
        <v>6.7410470503993958E-2</v>
      </c>
      <c r="H27" s="69"/>
      <c r="I27" s="69" t="s">
        <v>135</v>
      </c>
      <c r="J27" s="69" t="s">
        <v>124</v>
      </c>
      <c r="K27" s="69" t="s">
        <v>136</v>
      </c>
      <c r="L27" s="69" t="s">
        <v>137</v>
      </c>
      <c r="M27" s="69" t="s">
        <v>138</v>
      </c>
      <c r="N27" s="69" t="s">
        <v>139</v>
      </c>
      <c r="O27" s="69" t="s">
        <v>140</v>
      </c>
      <c r="P27" s="69" t="s">
        <v>141</v>
      </c>
    </row>
    <row r="28" spans="2:16">
      <c r="B28" s="65">
        <f t="shared" si="0"/>
        <v>14</v>
      </c>
      <c r="C28" s="71">
        <f t="shared" si="2"/>
        <v>47570</v>
      </c>
      <c r="D28" s="72">
        <f t="shared" si="3"/>
        <v>1376495.0909090913</v>
      </c>
      <c r="E28" s="73">
        <f t="shared" si="1"/>
        <v>6.315327829992623E-2</v>
      </c>
      <c r="H28" t="s">
        <v>129</v>
      </c>
      <c r="I28">
        <v>231765.99999999988</v>
      </c>
      <c r="J28">
        <v>52069.18434909753</v>
      </c>
      <c r="K28">
        <v>4.4511163924928443</v>
      </c>
      <c r="L28">
        <v>2.1361275961141223E-3</v>
      </c>
      <c r="M28">
        <v>111694.24557427288</v>
      </c>
      <c r="N28">
        <v>351837.75442572689</v>
      </c>
      <c r="O28">
        <v>111694.24557427288</v>
      </c>
      <c r="P28">
        <v>351837.75442572689</v>
      </c>
    </row>
    <row r="29" spans="2:16" ht="15" thickBot="1">
      <c r="H29" s="68" t="s">
        <v>118</v>
      </c>
      <c r="I29" s="68">
        <v>81766.363636363661</v>
      </c>
      <c r="J29" s="68">
        <v>8391.7088933147425</v>
      </c>
      <c r="K29" s="68">
        <v>9.7437083049321291</v>
      </c>
      <c r="L29" s="68">
        <v>1.0300345948916259E-5</v>
      </c>
      <c r="M29" s="68">
        <v>62415.048226950283</v>
      </c>
      <c r="N29" s="68">
        <v>101117.67904577704</v>
      </c>
      <c r="O29" s="68">
        <v>62415.048226950283</v>
      </c>
      <c r="P29" s="68">
        <v>101117.67904577704</v>
      </c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</sheetData>
  <mergeCells count="2">
    <mergeCell ref="H12:P12"/>
    <mergeCell ref="B12: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57E5-E06B-4775-A24A-6D24518C83FA}">
  <sheetPr>
    <pageSetUpPr fitToPage="1"/>
  </sheetPr>
  <dimension ref="A8:O68"/>
  <sheetViews>
    <sheetView showGridLines="0" zoomScaleNormal="100" workbookViewId="0">
      <selection activeCell="G37" sqref="G37"/>
    </sheetView>
  </sheetViews>
  <sheetFormatPr defaultRowHeight="14.4" outlineLevelRow="1"/>
  <cols>
    <col min="1" max="1" width="1.88671875" style="110" customWidth="1"/>
    <col min="2" max="2" width="24.6640625" customWidth="1"/>
    <col min="3" max="7" width="11.109375" customWidth="1"/>
    <col min="8" max="10" width="10.6640625" bestFit="1" customWidth="1"/>
    <col min="11" max="11" width="13.5546875" bestFit="1" customWidth="1"/>
    <col min="12" max="12" width="10.6640625" bestFit="1" customWidth="1"/>
  </cols>
  <sheetData>
    <row r="8" spans="1:12">
      <c r="B8" s="19" t="s">
        <v>156</v>
      </c>
      <c r="C8" s="20">
        <f>RawFs!E2</f>
        <v>42795</v>
      </c>
      <c r="D8" s="20">
        <f>RawFs!F2</f>
        <v>43160</v>
      </c>
      <c r="E8" s="20">
        <f>RawFs!G2</f>
        <v>43525</v>
      </c>
      <c r="F8" s="20">
        <f>RawFs!H2</f>
        <v>43891</v>
      </c>
      <c r="G8" s="20">
        <f>RawFs!I2</f>
        <v>44256</v>
      </c>
      <c r="H8" s="20">
        <f>RawFs!J2</f>
        <v>44621</v>
      </c>
      <c r="I8" s="20">
        <f>RawFs!K2</f>
        <v>44986</v>
      </c>
      <c r="J8" s="20">
        <f>RawFs!L2</f>
        <v>45352</v>
      </c>
      <c r="K8" s="20">
        <f>RawFs!M2</f>
        <v>45717</v>
      </c>
      <c r="L8" s="20">
        <f>RawFs!N2</f>
        <v>46082</v>
      </c>
    </row>
    <row r="9" spans="1:12" outlineLevel="1"/>
    <row r="10" spans="1:12" outlineLevel="1">
      <c r="A10" s="110" t="s">
        <v>56</v>
      </c>
      <c r="B10" s="111" t="s">
        <v>157</v>
      </c>
    </row>
    <row r="11" spans="1:12" outlineLevel="1">
      <c r="B11" s="112" t="s">
        <v>199</v>
      </c>
      <c r="C11" s="113">
        <f>RawFs!E31</f>
        <v>48951</v>
      </c>
      <c r="D11" s="113">
        <f>RawFs!F31</f>
        <v>60837</v>
      </c>
      <c r="E11" s="113">
        <f>RawFs!G31</f>
        <v>67561</v>
      </c>
      <c r="F11" s="113">
        <f>RawFs!H31</f>
        <v>73903</v>
      </c>
      <c r="G11" s="113">
        <f>RawFs!I31</f>
        <v>81672</v>
      </c>
      <c r="H11" s="113">
        <f>RawFs!J31</f>
        <v>107778</v>
      </c>
      <c r="I11" s="113">
        <f>RawFs!K31</f>
        <v>140008</v>
      </c>
      <c r="J11" s="113">
        <f>RawFs!L31</f>
        <v>152770</v>
      </c>
      <c r="K11" s="113">
        <f>RawFs!M31</f>
        <v>146062</v>
      </c>
      <c r="L11" s="113">
        <f>RawFs!N31</f>
        <v>166941</v>
      </c>
    </row>
    <row r="12" spans="1:12" outlineLevel="1">
      <c r="B12" s="112" t="s">
        <v>205</v>
      </c>
      <c r="C12" s="113">
        <f>RawFs!E32</f>
        <v>8177</v>
      </c>
      <c r="D12" s="113">
        <f>RawFs!F32</f>
        <v>17555</v>
      </c>
      <c r="E12" s="113">
        <f>RawFs!G32</f>
        <v>30089</v>
      </c>
      <c r="F12" s="113">
        <f>RawFs!H32</f>
        <v>19656</v>
      </c>
      <c r="G12" s="113">
        <f>RawFs!I32</f>
        <v>19014</v>
      </c>
      <c r="H12" s="113">
        <f>RawFs!J32</f>
        <v>23640</v>
      </c>
      <c r="I12" s="113">
        <f>RawFs!K32</f>
        <v>28448</v>
      </c>
      <c r="J12" s="113">
        <f>RawFs!L32</f>
        <v>31628</v>
      </c>
      <c r="K12" s="113">
        <f>RawFs!M32</f>
        <v>42121</v>
      </c>
      <c r="L12" s="113">
        <f>RawFs!N32</f>
        <v>58491</v>
      </c>
    </row>
    <row r="13" spans="1:12" outlineLevel="1">
      <c r="B13" s="112" t="s">
        <v>206</v>
      </c>
      <c r="C13" s="113">
        <f>RawFs!E34</f>
        <v>996</v>
      </c>
      <c r="D13" s="113">
        <f>RawFs!F34</f>
        <v>2327</v>
      </c>
      <c r="E13" s="113">
        <f>RawFs!G34</f>
        <v>545</v>
      </c>
      <c r="F13" s="113">
        <f>RawFs!H34</f>
        <v>669</v>
      </c>
      <c r="G13" s="113">
        <f>RawFs!I34</f>
        <v>65</v>
      </c>
      <c r="H13" s="113">
        <f>RawFs!J34</f>
        <v>130</v>
      </c>
      <c r="I13" s="113">
        <f>RawFs!K34</f>
        <v>176</v>
      </c>
      <c r="J13" s="113">
        <f>RawFs!L34</f>
        <v>2517</v>
      </c>
      <c r="K13" s="113">
        <f>RawFs!M34</f>
        <v>5182</v>
      </c>
      <c r="L13" s="113">
        <f>RawFs!N34</f>
        <v>4870</v>
      </c>
    </row>
    <row r="14" spans="1:12" outlineLevel="1">
      <c r="B14" s="47" t="s">
        <v>207</v>
      </c>
      <c r="C14" s="114">
        <f>RawFs!E35</f>
        <v>39393</v>
      </c>
      <c r="D14" s="114">
        <f>RawFs!F35</f>
        <v>52530</v>
      </c>
      <c r="E14" s="114">
        <f>RawFs!G35</f>
        <v>74882</v>
      </c>
      <c r="F14" s="114">
        <f>RawFs!H35</f>
        <v>119336</v>
      </c>
      <c r="G14" s="114">
        <f>RawFs!I35</f>
        <v>169878</v>
      </c>
      <c r="H14" s="114">
        <f>RawFs!J35</f>
        <v>136328</v>
      </c>
      <c r="I14" s="114">
        <f>RawFs!K35</f>
        <v>114469</v>
      </c>
      <c r="J14" s="114">
        <f>RawFs!L35</f>
        <v>126396</v>
      </c>
      <c r="K14" s="114">
        <f>RawFs!M35</f>
        <v>145714</v>
      </c>
      <c r="L14" s="114">
        <f>RawFs!N35</f>
        <v>190454</v>
      </c>
    </row>
    <row r="15" spans="1:12" ht="15" outlineLevel="1" thickBot="1">
      <c r="B15" s="115" t="s">
        <v>81</v>
      </c>
      <c r="C15" s="116">
        <f t="shared" ref="C15:L15" si="0">SUM(C11:C14)</f>
        <v>97517</v>
      </c>
      <c r="D15" s="116">
        <f t="shared" si="0"/>
        <v>133249</v>
      </c>
      <c r="E15" s="116">
        <f t="shared" si="0"/>
        <v>173077</v>
      </c>
      <c r="F15" s="116">
        <f t="shared" si="0"/>
        <v>213564</v>
      </c>
      <c r="G15" s="116">
        <f t="shared" si="0"/>
        <v>270629</v>
      </c>
      <c r="H15" s="116">
        <f t="shared" si="0"/>
        <v>267876</v>
      </c>
      <c r="I15" s="116">
        <f t="shared" si="0"/>
        <v>283101</v>
      </c>
      <c r="J15" s="116">
        <f t="shared" si="0"/>
        <v>313311</v>
      </c>
      <c r="K15" s="116">
        <f t="shared" si="0"/>
        <v>339079</v>
      </c>
      <c r="L15" s="116">
        <f t="shared" si="0"/>
        <v>420756</v>
      </c>
    </row>
    <row r="16" spans="1:12" outlineLevel="1"/>
    <row r="17" spans="1:12" outlineLevel="1">
      <c r="B17" s="111" t="s">
        <v>158</v>
      </c>
    </row>
    <row r="18" spans="1:12" outlineLevel="1">
      <c r="B18" s="112" t="s">
        <v>209</v>
      </c>
      <c r="C18" s="113">
        <f>RawFs!E12</f>
        <v>76595</v>
      </c>
      <c r="D18" s="113">
        <f>RawFs!F12</f>
        <v>106861</v>
      </c>
      <c r="E18" s="113">
        <f>RawFs!G12</f>
        <v>108309</v>
      </c>
      <c r="F18" s="113">
        <f>RawFs!H12</f>
        <v>96799</v>
      </c>
      <c r="G18" s="113">
        <f>RawFs!I12</f>
        <v>108897</v>
      </c>
      <c r="H18" s="113">
        <f>RawFs!J12</f>
        <v>159330</v>
      </c>
      <c r="I18" s="113">
        <f>RawFs!K12</f>
        <v>147172</v>
      </c>
      <c r="J18" s="113">
        <f>RawFs!L12</f>
        <v>178377</v>
      </c>
      <c r="K18" s="113">
        <f>RawFs!M12</f>
        <v>186789</v>
      </c>
      <c r="L18" s="113">
        <f>RawFs!N12</f>
        <v>158842</v>
      </c>
    </row>
    <row r="19" spans="1:12" outlineLevel="1">
      <c r="B19" s="112" t="s">
        <v>208</v>
      </c>
      <c r="C19" s="113">
        <f>RawFs!E13</f>
        <v>146106</v>
      </c>
      <c r="D19" s="113">
        <f>RawFs!F13</f>
        <v>167524</v>
      </c>
      <c r="E19" s="113">
        <f>RawFs!G13</f>
        <v>186215</v>
      </c>
      <c r="F19" s="113">
        <f>RawFs!H13</f>
        <v>249736</v>
      </c>
      <c r="G19" s="113">
        <f>RawFs!I13</f>
        <v>132774</v>
      </c>
      <c r="H19" s="113">
        <f>RawFs!J13</f>
        <v>131150</v>
      </c>
      <c r="I19" s="113">
        <f>RawFs!K13</f>
        <v>178165</v>
      </c>
      <c r="J19" s="113">
        <f>RawFs!L13</f>
        <v>300164</v>
      </c>
      <c r="K19" s="113">
        <f>RawFs!M13</f>
        <v>378985</v>
      </c>
      <c r="L19" s="113">
        <f>RawFs!N13</f>
        <v>529876</v>
      </c>
    </row>
    <row r="20" spans="1:12" outlineLevel="1"/>
    <row r="21" spans="1:12" ht="15" outlineLevel="1" thickBot="1">
      <c r="A21" s="110" t="s">
        <v>56</v>
      </c>
      <c r="B21" s="115" t="s">
        <v>74</v>
      </c>
      <c r="C21" s="117">
        <f t="shared" ref="C21:L21" si="1">SUM(C18:C20)</f>
        <v>222701</v>
      </c>
      <c r="D21" s="117">
        <f t="shared" si="1"/>
        <v>274385</v>
      </c>
      <c r="E21" s="117">
        <f t="shared" si="1"/>
        <v>294524</v>
      </c>
      <c r="F21" s="117">
        <f t="shared" si="1"/>
        <v>346535</v>
      </c>
      <c r="G21" s="117">
        <f t="shared" si="1"/>
        <v>241671</v>
      </c>
      <c r="H21" s="117">
        <f t="shared" si="1"/>
        <v>290480</v>
      </c>
      <c r="I21" s="117">
        <f t="shared" si="1"/>
        <v>325337</v>
      </c>
      <c r="J21" s="117">
        <f t="shared" si="1"/>
        <v>478541</v>
      </c>
      <c r="K21" s="117">
        <f t="shared" si="1"/>
        <v>565774</v>
      </c>
      <c r="L21" s="117">
        <f t="shared" si="1"/>
        <v>688718</v>
      </c>
    </row>
    <row r="22" spans="1:12" outlineLevel="1"/>
    <row r="23" spans="1:12" ht="15" outlineLevel="1" thickBot="1">
      <c r="A23" s="110" t="s">
        <v>56</v>
      </c>
      <c r="B23" s="115" t="s">
        <v>159</v>
      </c>
      <c r="C23" s="118">
        <f t="shared" ref="C23:L23" si="2">C15-C21</f>
        <v>-125184</v>
      </c>
      <c r="D23" s="118">
        <f t="shared" si="2"/>
        <v>-141136</v>
      </c>
      <c r="E23" s="118">
        <f t="shared" si="2"/>
        <v>-121447</v>
      </c>
      <c r="F23" s="118">
        <f t="shared" si="2"/>
        <v>-132971</v>
      </c>
      <c r="G23" s="118">
        <f t="shared" si="2"/>
        <v>28958</v>
      </c>
      <c r="H23" s="118">
        <f t="shared" si="2"/>
        <v>-22604</v>
      </c>
      <c r="I23" s="118">
        <f t="shared" si="2"/>
        <v>-42236</v>
      </c>
      <c r="J23" s="118">
        <f t="shared" si="2"/>
        <v>-165230</v>
      </c>
      <c r="K23" s="118">
        <f t="shared" si="2"/>
        <v>-226695</v>
      </c>
      <c r="L23" s="118">
        <f t="shared" si="2"/>
        <v>-267962</v>
      </c>
    </row>
    <row r="24" spans="1:12" outlineLevel="1"/>
    <row r="25" spans="1:12" outlineLevel="1">
      <c r="A25" s="110" t="s">
        <v>56</v>
      </c>
      <c r="B25" s="111" t="s">
        <v>160</v>
      </c>
    </row>
    <row r="26" spans="1:12" outlineLevel="1">
      <c r="B26" s="119" t="s">
        <v>187</v>
      </c>
      <c r="C26" s="120">
        <f>RawFs!E17</f>
        <v>65973</v>
      </c>
      <c r="D26" s="120">
        <f>RawFs!F17</f>
        <v>66765</v>
      </c>
      <c r="E26" s="120">
        <f>RawFs!G17</f>
        <v>49371</v>
      </c>
      <c r="F26" s="120">
        <f>RawFs!H17</f>
        <v>68743</v>
      </c>
      <c r="G26" s="120">
        <f>RawFs!I17</f>
        <v>68768</v>
      </c>
      <c r="H26" s="120">
        <f>RawFs!J17</f>
        <v>69855</v>
      </c>
      <c r="I26" s="120">
        <f>RawFs!K17</f>
        <v>79697</v>
      </c>
      <c r="J26" s="120">
        <f>RawFs!L17</f>
        <v>87287</v>
      </c>
      <c r="K26" s="120">
        <f>RawFs!M17</f>
        <v>102088</v>
      </c>
      <c r="L26" s="120">
        <f>RawFs!N17</f>
        <v>103974</v>
      </c>
    </row>
    <row r="27" spans="1:12" outlineLevel="1">
      <c r="B27" s="119" t="s">
        <v>188</v>
      </c>
      <c r="C27" s="120">
        <f>RawFs!E18</f>
        <v>18813</v>
      </c>
      <c r="D27" s="120">
        <f>RawFs!F18</f>
        <v>22194</v>
      </c>
      <c r="E27" s="120">
        <f>RawFs!G18</f>
        <v>27672</v>
      </c>
      <c r="F27" s="120">
        <f>RawFs!H18</f>
        <v>34380</v>
      </c>
      <c r="G27" s="120">
        <f>RawFs!I18</f>
        <v>36781</v>
      </c>
      <c r="H27" s="120">
        <f>RawFs!J18</f>
        <v>47561</v>
      </c>
      <c r="I27" s="120">
        <f>RawFs!K18</f>
        <v>69747</v>
      </c>
      <c r="J27" s="120">
        <f>RawFs!L18</f>
        <v>82062</v>
      </c>
      <c r="K27" s="120">
        <f>RawFs!M18</f>
        <v>106351</v>
      </c>
      <c r="L27" s="120">
        <f>RawFs!N18</f>
        <v>110548</v>
      </c>
    </row>
    <row r="28" spans="1:12" outlineLevel="1">
      <c r="B28" s="119" t="s">
        <v>189</v>
      </c>
      <c r="C28" s="120">
        <f>RawFs!E19</f>
        <v>179326</v>
      </c>
      <c r="D28" s="120">
        <f>RawFs!F19</f>
        <v>325183</v>
      </c>
      <c r="E28" s="120">
        <f>RawFs!G19</f>
        <v>318853</v>
      </c>
      <c r="F28" s="120">
        <f>RawFs!H19</f>
        <v>449770</v>
      </c>
      <c r="G28" s="120">
        <f>RawFs!I19</f>
        <v>471201</v>
      </c>
      <c r="H28" s="120">
        <f>RawFs!J19</f>
        <v>518865</v>
      </c>
      <c r="I28" s="120">
        <f>RawFs!K19</f>
        <v>557687</v>
      </c>
      <c r="J28" s="120">
        <f>RawFs!L19</f>
        <v>579067</v>
      </c>
      <c r="K28" s="120">
        <f>RawFs!M19</f>
        <v>640511</v>
      </c>
      <c r="L28" s="120">
        <f>RawFs!N19</f>
        <v>727877</v>
      </c>
    </row>
    <row r="29" spans="1:12" outlineLevel="1">
      <c r="B29" s="119" t="s">
        <v>190</v>
      </c>
      <c r="C29" s="120">
        <f>RawFs!E20</f>
        <v>3484</v>
      </c>
      <c r="D29" s="120">
        <f>RawFs!F20</f>
        <v>5038</v>
      </c>
      <c r="E29" s="120">
        <f>RawFs!G20</f>
        <v>417</v>
      </c>
      <c r="F29" s="120">
        <f>RawFs!H20</f>
        <v>502</v>
      </c>
      <c r="G29" s="120">
        <f>RawFs!I20</f>
        <v>515</v>
      </c>
      <c r="H29" s="120">
        <f>RawFs!J20</f>
        <v>508</v>
      </c>
      <c r="I29" s="120">
        <f>RawFs!K20</f>
        <v>518</v>
      </c>
      <c r="J29" s="120">
        <f>RawFs!L20</f>
        <v>522</v>
      </c>
      <c r="K29" s="120">
        <f>RawFs!M20</f>
        <v>527</v>
      </c>
      <c r="L29" s="120">
        <f>RawFs!N20</f>
        <v>551</v>
      </c>
    </row>
    <row r="30" spans="1:12" outlineLevel="1">
      <c r="B30" s="119" t="s">
        <v>191</v>
      </c>
      <c r="C30" s="120">
        <f>RawFs!E21</f>
        <v>0</v>
      </c>
      <c r="D30" s="120">
        <f>RawFs!F21</f>
        <v>0</v>
      </c>
      <c r="E30" s="120">
        <f>RawFs!G21</f>
        <v>0</v>
      </c>
      <c r="F30" s="120">
        <f>RawFs!H21</f>
        <v>0</v>
      </c>
      <c r="G30" s="120">
        <f>RawFs!I21</f>
        <v>0</v>
      </c>
      <c r="H30" s="120">
        <f>RawFs!J21</f>
        <v>32638</v>
      </c>
      <c r="I30" s="120">
        <f>RawFs!K21</f>
        <v>45067</v>
      </c>
      <c r="J30" s="120">
        <f>RawFs!L21</f>
        <v>59936</v>
      </c>
      <c r="K30" s="120">
        <f>RawFs!M21</f>
        <v>0</v>
      </c>
      <c r="L30" s="120">
        <f>RawFs!N21</f>
        <v>0</v>
      </c>
    </row>
    <row r="31" spans="1:12" outlineLevel="1">
      <c r="B31" s="119" t="s">
        <v>192</v>
      </c>
      <c r="C31" s="120">
        <f>RawFs!E22</f>
        <v>7848</v>
      </c>
      <c r="D31" s="120">
        <f>RawFs!F22</f>
        <v>10146</v>
      </c>
      <c r="E31" s="120">
        <f>RawFs!G22</f>
        <v>21817</v>
      </c>
      <c r="F31" s="120">
        <f>RawFs!H22</f>
        <v>31211</v>
      </c>
      <c r="G31" s="120">
        <f>RawFs!I22</f>
        <v>38039</v>
      </c>
      <c r="H31" s="120">
        <f>RawFs!J22</f>
        <v>24970</v>
      </c>
      <c r="I31" s="120">
        <f>RawFs!K22</f>
        <v>38161</v>
      </c>
      <c r="J31" s="120">
        <f>RawFs!L22</f>
        <v>43458</v>
      </c>
      <c r="K31" s="120">
        <f>RawFs!M22</f>
        <v>111604</v>
      </c>
      <c r="L31" s="120">
        <f>RawFs!N22</f>
        <v>121211</v>
      </c>
    </row>
    <row r="32" spans="1:12" outlineLevel="1">
      <c r="B32" s="119" t="s">
        <v>193</v>
      </c>
      <c r="C32" s="120">
        <f>RawFs!E23</f>
        <v>1155</v>
      </c>
      <c r="D32" s="120">
        <f>RawFs!F23</f>
        <v>1199</v>
      </c>
      <c r="E32" s="120">
        <f>RawFs!G23</f>
        <v>1240</v>
      </c>
      <c r="F32" s="120">
        <f>RawFs!H23</f>
        <v>1411</v>
      </c>
      <c r="G32" s="120">
        <f>RawFs!I23</f>
        <v>2336</v>
      </c>
      <c r="H32" s="120">
        <f>RawFs!J23</f>
        <v>2530</v>
      </c>
      <c r="I32" s="120">
        <f>RawFs!K23</f>
        <v>3667</v>
      </c>
      <c r="J32" s="120">
        <f>RawFs!L23</f>
        <v>3745</v>
      </c>
      <c r="K32" s="120">
        <f>RawFs!M23</f>
        <v>4178</v>
      </c>
      <c r="L32" s="120">
        <f>RawFs!N23</f>
        <v>5044</v>
      </c>
    </row>
    <row r="33" spans="1:12" outlineLevel="1">
      <c r="B33" s="119" t="s">
        <v>194</v>
      </c>
      <c r="C33" s="120">
        <f>RawFs!E24</f>
        <v>75351</v>
      </c>
      <c r="D33" s="120">
        <f>RawFs!F24</f>
        <v>76599</v>
      </c>
      <c r="E33" s="120">
        <f>RawFs!G24</f>
        <v>86765</v>
      </c>
      <c r="F33" s="120">
        <f>RawFs!H24</f>
        <v>81462</v>
      </c>
      <c r="G33" s="120">
        <f>RawFs!I24</f>
        <v>77353</v>
      </c>
      <c r="H33" s="120">
        <f>RawFs!J24</f>
        <v>65970</v>
      </c>
      <c r="I33" s="120">
        <f>RawFs!K24</f>
        <v>85032</v>
      </c>
      <c r="J33" s="120">
        <f>RawFs!L24</f>
        <v>112873</v>
      </c>
      <c r="K33" s="120">
        <f>RawFs!M24</f>
        <v>160656</v>
      </c>
      <c r="L33" s="120">
        <f>RawFs!N24</f>
        <v>167504</v>
      </c>
    </row>
    <row r="34" spans="1:12" outlineLevel="1">
      <c r="B34" s="119" t="s">
        <v>195</v>
      </c>
      <c r="C34" s="120">
        <f>RawFs!E25</f>
        <v>9343</v>
      </c>
      <c r="D34" s="120">
        <f>RawFs!F25</f>
        <v>74160</v>
      </c>
      <c r="E34" s="120">
        <f>RawFs!G25</f>
        <v>90387</v>
      </c>
      <c r="F34" s="120">
        <f>RawFs!H25</f>
        <v>76299</v>
      </c>
      <c r="G34" s="120">
        <f>RawFs!I25</f>
        <v>80819</v>
      </c>
      <c r="H34" s="120">
        <f>RawFs!J25</f>
        <v>120717</v>
      </c>
      <c r="I34" s="120">
        <f>RawFs!K25</f>
        <v>138426</v>
      </c>
      <c r="J34" s="120">
        <f>RawFs!L25</f>
        <v>145632</v>
      </c>
      <c r="K34" s="120">
        <f>RawFs!M25</f>
        <v>249903</v>
      </c>
      <c r="L34" s="120">
        <f>RawFs!N25</f>
        <v>318878</v>
      </c>
    </row>
    <row r="35" spans="1:12" outlineLevel="1">
      <c r="B35" s="141" t="s">
        <v>196</v>
      </c>
      <c r="C35" s="139">
        <f>SUM(C26:C34)</f>
        <v>361293</v>
      </c>
      <c r="D35" s="139">
        <f t="shared" ref="D35:L35" si="3">SUM(D26:D34)</f>
        <v>581284</v>
      </c>
      <c r="E35" s="139">
        <f t="shared" si="3"/>
        <v>596522</v>
      </c>
      <c r="F35" s="139">
        <f t="shared" si="3"/>
        <v>743778</v>
      </c>
      <c r="G35" s="139">
        <f t="shared" si="3"/>
        <v>775812</v>
      </c>
      <c r="H35" s="139">
        <f t="shared" si="3"/>
        <v>883614</v>
      </c>
      <c r="I35" s="139">
        <f t="shared" si="3"/>
        <v>1018002</v>
      </c>
      <c r="J35" s="139">
        <f t="shared" si="3"/>
        <v>1114582</v>
      </c>
      <c r="K35" s="139">
        <f t="shared" si="3"/>
        <v>1375818</v>
      </c>
      <c r="L35" s="139">
        <f t="shared" si="3"/>
        <v>1555587</v>
      </c>
    </row>
    <row r="36" spans="1:12" outlineLevel="1">
      <c r="B36" s="142" t="s">
        <v>197</v>
      </c>
      <c r="C36" s="143">
        <f>-RawFs!E27</f>
        <v>-162767</v>
      </c>
      <c r="D36" s="143">
        <f>-RawFs!F27</f>
        <v>-177399</v>
      </c>
      <c r="E36" s="143">
        <f>-RawFs!G27</f>
        <v>-198148</v>
      </c>
      <c r="F36" s="143">
        <f>-RawFs!H27</f>
        <v>-211120</v>
      </c>
      <c r="G36" s="143">
        <f>-RawFs!I27</f>
        <v>-234554</v>
      </c>
      <c r="H36" s="143">
        <f>-RawFs!J27</f>
        <v>-255816</v>
      </c>
      <c r="I36" s="143">
        <f>-RawFs!K27</f>
        <v>-293197</v>
      </c>
      <c r="J36" s="143">
        <f>-RawFs!L27</f>
        <v>-334597</v>
      </c>
      <c r="K36" s="143">
        <f>-RawFs!M27</f>
        <v>-376425</v>
      </c>
      <c r="L36" s="143">
        <f>-RawFs!N27</f>
        <v>-430792</v>
      </c>
    </row>
    <row r="37" spans="1:12" ht="15" outlineLevel="1" thickBot="1">
      <c r="A37" s="110" t="s">
        <v>56</v>
      </c>
      <c r="B37" s="115" t="s">
        <v>161</v>
      </c>
      <c r="C37" s="117">
        <f>SUM(C35:C36)</f>
        <v>198526</v>
      </c>
      <c r="D37" s="117">
        <f t="shared" ref="D37:L37" si="4">SUM(D35:D36)</f>
        <v>403885</v>
      </c>
      <c r="E37" s="117">
        <f t="shared" si="4"/>
        <v>398374</v>
      </c>
      <c r="F37" s="117">
        <f t="shared" si="4"/>
        <v>532658</v>
      </c>
      <c r="G37" s="117">
        <f>SUM(G35:G36)</f>
        <v>541258</v>
      </c>
      <c r="H37" s="117">
        <f t="shared" si="4"/>
        <v>627798</v>
      </c>
      <c r="I37" s="117">
        <f t="shared" si="4"/>
        <v>724805</v>
      </c>
      <c r="J37" s="117">
        <f t="shared" si="4"/>
        <v>779985</v>
      </c>
      <c r="K37" s="117">
        <f t="shared" si="4"/>
        <v>999393</v>
      </c>
      <c r="L37" s="117">
        <f t="shared" si="4"/>
        <v>1124795</v>
      </c>
    </row>
    <row r="38" spans="1:12" outlineLevel="1"/>
    <row r="39" spans="1:12" outlineLevel="1"/>
    <row r="40" spans="1:12" outlineLevel="1">
      <c r="A40" s="110" t="s">
        <v>56</v>
      </c>
      <c r="B40" s="111" t="s">
        <v>162</v>
      </c>
      <c r="C40" s="121">
        <f>SUM(C37,C23)</f>
        <v>73342</v>
      </c>
      <c r="D40" s="121">
        <f t="shared" ref="D40:L40" si="5">SUM(D37,D23)</f>
        <v>262749</v>
      </c>
      <c r="E40" s="121">
        <f t="shared" si="5"/>
        <v>276927</v>
      </c>
      <c r="F40" s="121">
        <f t="shared" si="5"/>
        <v>399687</v>
      </c>
      <c r="G40" s="121">
        <f t="shared" si="5"/>
        <v>570216</v>
      </c>
      <c r="H40" s="121">
        <f t="shared" si="5"/>
        <v>605194</v>
      </c>
      <c r="I40" s="121">
        <f t="shared" si="5"/>
        <v>682569</v>
      </c>
      <c r="J40" s="121">
        <f t="shared" si="5"/>
        <v>614755</v>
      </c>
      <c r="K40" s="121">
        <f t="shared" si="5"/>
        <v>772698</v>
      </c>
      <c r="L40" s="121">
        <f t="shared" si="5"/>
        <v>856833</v>
      </c>
    </row>
    <row r="41" spans="1:12" outlineLevel="1">
      <c r="B41" s="111" t="s">
        <v>163</v>
      </c>
      <c r="C41" s="121">
        <f>SUM('Data Sheet '!B28:B29)</f>
        <v>43883</v>
      </c>
      <c r="D41" s="121">
        <f>SUM('Data Sheet '!C28:C29)</f>
        <v>57478</v>
      </c>
      <c r="E41" s="121">
        <f>SUM('Data Sheet '!D28:D29)</f>
        <v>71722</v>
      </c>
      <c r="F41" s="121">
        <f>SUM('Data Sheet '!E28:E29)</f>
        <v>75633</v>
      </c>
      <c r="G41" s="121">
        <f>SUM('Data Sheet '!F28:F29)</f>
        <v>76650</v>
      </c>
      <c r="H41" s="121">
        <f>SUM('Data Sheet '!G28:G29)</f>
        <v>98399</v>
      </c>
      <c r="I41" s="121">
        <f>SUM('Data Sheet '!H28:H29)</f>
        <v>114035</v>
      </c>
      <c r="J41" s="121">
        <f>SUM('Data Sheet '!I28:I29)</f>
        <v>127458</v>
      </c>
      <c r="K41" s="121">
        <f>SUM('Data Sheet '!J28:J29)</f>
        <v>130286</v>
      </c>
      <c r="L41" s="121">
        <f>SUM('Data Sheet '!K28:K29)</f>
        <v>150223</v>
      </c>
    </row>
    <row r="42" spans="1:12" outlineLevel="1"/>
    <row r="43" spans="1:12" ht="15" outlineLevel="1" thickBot="1">
      <c r="B43" s="122" t="s">
        <v>164</v>
      </c>
      <c r="C43" s="123">
        <f>C41/C40</f>
        <v>0.59833383327424938</v>
      </c>
      <c r="D43" s="123">
        <f>D41/D40</f>
        <v>0.21875630354444736</v>
      </c>
      <c r="E43" s="123">
        <f>E41/E40</f>
        <v>0.25899244205151539</v>
      </c>
      <c r="F43" s="123">
        <f>F41/F40</f>
        <v>0.1892305729233125</v>
      </c>
      <c r="G43" s="145">
        <f>G41/G40</f>
        <v>0.13442274506502799</v>
      </c>
      <c r="H43" s="123">
        <f t="shared" ref="H43:L43" si="6">H41/H40</f>
        <v>0.16259083864017157</v>
      </c>
      <c r="I43" s="123">
        <f t="shared" si="6"/>
        <v>0.16706735875786916</v>
      </c>
      <c r="J43" s="123">
        <f t="shared" si="6"/>
        <v>0.20733137591398199</v>
      </c>
      <c r="K43" s="123">
        <f t="shared" si="6"/>
        <v>0.16861179917639232</v>
      </c>
      <c r="L43" s="123">
        <f t="shared" si="6"/>
        <v>0.17532354612859216</v>
      </c>
    </row>
    <row r="44" spans="1:12" ht="15" thickTop="1"/>
    <row r="45" spans="1:12">
      <c r="B45" s="19" t="s">
        <v>165</v>
      </c>
      <c r="C45" s="20">
        <f t="shared" ref="C45:L45" si="7">C8</f>
        <v>42795</v>
      </c>
      <c r="D45" s="20">
        <f t="shared" si="7"/>
        <v>43160</v>
      </c>
      <c r="E45" s="20">
        <f t="shared" si="7"/>
        <v>43525</v>
      </c>
      <c r="F45" s="20">
        <f t="shared" si="7"/>
        <v>43891</v>
      </c>
      <c r="G45" s="20">
        <f t="shared" si="7"/>
        <v>44256</v>
      </c>
      <c r="H45" s="20">
        <f t="shared" si="7"/>
        <v>44621</v>
      </c>
      <c r="I45" s="20">
        <f t="shared" si="7"/>
        <v>44986</v>
      </c>
      <c r="J45" s="20">
        <f t="shared" si="7"/>
        <v>45352</v>
      </c>
      <c r="K45" s="20">
        <f t="shared" si="7"/>
        <v>45717</v>
      </c>
      <c r="L45" s="20">
        <f t="shared" si="7"/>
        <v>46082</v>
      </c>
    </row>
    <row r="46" spans="1:12" outlineLevel="1"/>
    <row r="47" spans="1:12" outlineLevel="1">
      <c r="B47" s="112" t="s">
        <v>166</v>
      </c>
      <c r="C47" s="113">
        <f>-SUM(RawFs!E48:E49)</f>
        <v>76627</v>
      </c>
      <c r="D47" s="113">
        <f>-SUM(RawFs!F48:F49)</f>
        <v>72954</v>
      </c>
      <c r="E47" s="113">
        <f>-SUM(RawFs!G48:G49)</f>
        <v>92777</v>
      </c>
      <c r="F47" s="113">
        <f>-SUM(RawFs!H48:H49)</f>
        <v>75553</v>
      </c>
      <c r="G47" s="113">
        <f>-SUM(RawFs!I48:I49)</f>
        <v>103518</v>
      </c>
      <c r="H47" s="113">
        <f>-SUM(RawFs!J48:J49)</f>
        <v>97008</v>
      </c>
      <c r="I47" s="113">
        <f>-SUM(RawFs!K48:K49)</f>
        <v>131802</v>
      </c>
      <c r="J47" s="113">
        <f>-SUM(RawFs!L48:L49)</f>
        <v>137576</v>
      </c>
      <c r="K47" s="113">
        <f>-SUM(RawFs!M48:M49)</f>
        <v>137624</v>
      </c>
      <c r="L47" s="113">
        <f>-SUM(RawFs!N48:N49)</f>
        <v>122090</v>
      </c>
    </row>
    <row r="48" spans="1:12" outlineLevel="1">
      <c r="B48" s="112" t="s">
        <v>167</v>
      </c>
      <c r="C48" s="113"/>
      <c r="D48" s="113">
        <f>D23-C23</f>
        <v>-15952</v>
      </c>
      <c r="E48" s="113">
        <f t="shared" ref="E48:J48" si="8">E23-D23</f>
        <v>19689</v>
      </c>
      <c r="F48" s="113">
        <f t="shared" si="8"/>
        <v>-11524</v>
      </c>
      <c r="G48" s="113">
        <f>G23-F23</f>
        <v>161929</v>
      </c>
      <c r="H48" s="113">
        <f t="shared" si="8"/>
        <v>-51562</v>
      </c>
      <c r="I48" s="113">
        <f t="shared" si="8"/>
        <v>-19632</v>
      </c>
      <c r="J48" s="113">
        <f t="shared" si="8"/>
        <v>-122994</v>
      </c>
      <c r="K48" s="113">
        <f>K23-J23</f>
        <v>-61465</v>
      </c>
      <c r="L48" s="113">
        <f>L23-K23</f>
        <v>-41267</v>
      </c>
    </row>
    <row r="49" spans="1:15" outlineLevel="1">
      <c r="B49" s="112"/>
      <c r="C49" s="113"/>
      <c r="D49" s="113"/>
      <c r="E49" s="113"/>
      <c r="F49" s="113"/>
      <c r="G49" s="113"/>
    </row>
    <row r="50" spans="1:15" outlineLevel="1">
      <c r="B50" s="112" t="s">
        <v>163</v>
      </c>
      <c r="C50" s="113">
        <f>C41</f>
        <v>43883</v>
      </c>
      <c r="D50" s="113">
        <f t="shared" ref="D50:L50" si="9">D41</f>
        <v>57478</v>
      </c>
      <c r="E50" s="113">
        <f t="shared" si="9"/>
        <v>71722</v>
      </c>
      <c r="F50" s="113">
        <f t="shared" si="9"/>
        <v>75633</v>
      </c>
      <c r="G50" s="113">
        <f t="shared" si="9"/>
        <v>76650</v>
      </c>
      <c r="H50" s="113">
        <f t="shared" si="9"/>
        <v>98399</v>
      </c>
      <c r="I50" s="113">
        <f t="shared" si="9"/>
        <v>114035</v>
      </c>
      <c r="J50" s="113">
        <f t="shared" si="9"/>
        <v>127458</v>
      </c>
      <c r="K50" s="113">
        <f>K41</f>
        <v>130286</v>
      </c>
      <c r="L50" s="113">
        <f t="shared" si="9"/>
        <v>150223</v>
      </c>
    </row>
    <row r="51" spans="1:15" outlineLevel="1">
      <c r="B51" s="112" t="s">
        <v>168</v>
      </c>
      <c r="C51" s="124">
        <v>0.25</v>
      </c>
      <c r="D51" s="124">
        <v>0.25</v>
      </c>
      <c r="E51" s="124">
        <v>0.25</v>
      </c>
      <c r="F51" s="124">
        <v>0.25</v>
      </c>
      <c r="G51" s="124">
        <v>0.25</v>
      </c>
      <c r="H51" s="124">
        <v>0.25</v>
      </c>
      <c r="I51" s="124">
        <v>0.25</v>
      </c>
      <c r="J51" s="124">
        <v>0.25</v>
      </c>
      <c r="K51" s="124">
        <v>0.25</v>
      </c>
      <c r="L51" s="124">
        <v>0.25</v>
      </c>
    </row>
    <row r="52" spans="1:15" outlineLevel="1">
      <c r="B52" s="112" t="s">
        <v>169</v>
      </c>
      <c r="C52" s="113">
        <f>C50*(1-C51)</f>
        <v>32912.25</v>
      </c>
      <c r="D52" s="113">
        <f t="shared" ref="D52:G52" si="10">D50*(1-D51)</f>
        <v>43108.5</v>
      </c>
      <c r="E52" s="113">
        <f t="shared" si="10"/>
        <v>53791.5</v>
      </c>
      <c r="F52" s="113">
        <f t="shared" si="10"/>
        <v>56724.75</v>
      </c>
      <c r="G52" s="113">
        <f t="shared" si="10"/>
        <v>57487.5</v>
      </c>
      <c r="H52" s="113">
        <f t="shared" ref="H52" si="11">H50*(1-H51)</f>
        <v>73799.25</v>
      </c>
      <c r="I52" s="113">
        <f t="shared" ref="I52" si="12">I50*(1-I51)</f>
        <v>85526.25</v>
      </c>
      <c r="J52" s="113">
        <f t="shared" ref="J52" si="13">J50*(1-J51)</f>
        <v>95593.5</v>
      </c>
      <c r="K52" s="113">
        <f t="shared" ref="K52" si="14">K50*(1-K51)</f>
        <v>97714.5</v>
      </c>
      <c r="L52" s="113">
        <f t="shared" ref="L52" si="15">L50*(1-L51)</f>
        <v>112667.25</v>
      </c>
    </row>
    <row r="53" spans="1:15" outlineLevel="1">
      <c r="B53" s="112"/>
      <c r="C53" s="112"/>
      <c r="D53" s="112"/>
      <c r="E53" s="112"/>
      <c r="F53" s="112"/>
      <c r="G53" s="112"/>
    </row>
    <row r="54" spans="1:15" outlineLevel="1">
      <c r="B54" s="47" t="s">
        <v>170</v>
      </c>
      <c r="C54" s="47"/>
      <c r="D54" s="114">
        <f>SUM(D47:D48)</f>
        <v>57002</v>
      </c>
      <c r="E54" s="114">
        <f>SUM(E47:E48)</f>
        <v>112466</v>
      </c>
      <c r="F54" s="114">
        <f>SUM(F47:F48)</f>
        <v>64029</v>
      </c>
      <c r="G54" s="114">
        <f>SUM(G47:G48)</f>
        <v>265447</v>
      </c>
      <c r="H54" s="114">
        <f t="shared" ref="H54:K54" si="16">SUM(H47:H48)</f>
        <v>45446</v>
      </c>
      <c r="I54" s="114">
        <f t="shared" si="16"/>
        <v>112170</v>
      </c>
      <c r="J54" s="114">
        <f t="shared" si="16"/>
        <v>14582</v>
      </c>
      <c r="K54" s="114">
        <f t="shared" si="16"/>
        <v>76159</v>
      </c>
      <c r="L54" s="114">
        <f>SUM(L47:L48)</f>
        <v>80823</v>
      </c>
    </row>
    <row r="55" spans="1:15" ht="15" outlineLevel="1" thickBot="1">
      <c r="A55" s="110" t="s">
        <v>56</v>
      </c>
      <c r="B55" s="115" t="s">
        <v>171</v>
      </c>
      <c r="C55" s="115"/>
      <c r="D55" s="125">
        <f>D54/D52</f>
        <v>1.3222914274447035</v>
      </c>
      <c r="E55" s="125">
        <f t="shared" ref="E55:F55" si="17">E54/E52</f>
        <v>2.0907764237844271</v>
      </c>
      <c r="F55" s="125">
        <f t="shared" si="17"/>
        <v>1.1287665437044676</v>
      </c>
      <c r="G55" s="146">
        <f>G54/G52</f>
        <v>4.6174733637747334</v>
      </c>
      <c r="H55" s="125">
        <f>H54/H52</f>
        <v>0.61580571618275248</v>
      </c>
      <c r="I55" s="125">
        <f t="shared" ref="I55" si="18">I54/I52</f>
        <v>1.3115271627132021</v>
      </c>
      <c r="J55" s="125">
        <f t="shared" ref="J55" si="19">J54/J52</f>
        <v>0.15254175231579553</v>
      </c>
      <c r="K55" s="125">
        <f>K54/K52</f>
        <v>0.77940326154255513</v>
      </c>
      <c r="L55" s="125">
        <f t="shared" ref="L55" si="20">L54/L52</f>
        <v>0.7173601911824421</v>
      </c>
    </row>
    <row r="56" spans="1:15" outlineLevel="1"/>
    <row r="57" spans="1:15" outlineLevel="1">
      <c r="K57" s="126" t="s">
        <v>172</v>
      </c>
      <c r="L57" s="127">
        <f>AVERAGE(I55:L55)</f>
        <v>0.74020809193849868</v>
      </c>
    </row>
    <row r="58" spans="1:15" outlineLevel="1">
      <c r="K58" s="126" t="s">
        <v>173</v>
      </c>
      <c r="L58" s="127">
        <f>MEDIAN(I55:L55)</f>
        <v>0.74838172636249856</v>
      </c>
    </row>
    <row r="60" spans="1:15">
      <c r="B60" s="19" t="s">
        <v>174</v>
      </c>
      <c r="C60" s="20">
        <f>C45</f>
        <v>42795</v>
      </c>
      <c r="D60" s="20">
        <f t="shared" ref="D60:L60" si="21">D45</f>
        <v>43160</v>
      </c>
      <c r="E60" s="20">
        <f t="shared" si="21"/>
        <v>43525</v>
      </c>
      <c r="F60" s="20">
        <f t="shared" si="21"/>
        <v>43891</v>
      </c>
      <c r="G60" s="20">
        <f t="shared" si="21"/>
        <v>44256</v>
      </c>
      <c r="H60" s="20">
        <f t="shared" si="21"/>
        <v>44621</v>
      </c>
      <c r="I60" s="20">
        <f t="shared" si="21"/>
        <v>44986</v>
      </c>
      <c r="J60" s="20">
        <f t="shared" si="21"/>
        <v>45352</v>
      </c>
      <c r="K60" s="20">
        <f t="shared" si="21"/>
        <v>45717</v>
      </c>
      <c r="L60" s="20">
        <f t="shared" si="21"/>
        <v>46082</v>
      </c>
      <c r="O60" t="s">
        <v>234</v>
      </c>
    </row>
    <row r="61" spans="1:15" outlineLevel="1"/>
    <row r="62" spans="1:15" outlineLevel="1">
      <c r="B62" s="112" t="s">
        <v>171</v>
      </c>
      <c r="C62" s="112"/>
      <c r="D62" s="128">
        <f>D55</f>
        <v>1.3222914274447035</v>
      </c>
      <c r="E62" s="128">
        <f t="shared" ref="E62:L62" si="22">E55</f>
        <v>2.0907764237844271</v>
      </c>
      <c r="F62" s="128">
        <f t="shared" si="22"/>
        <v>1.1287665437044676</v>
      </c>
      <c r="G62" s="128">
        <f>G55</f>
        <v>4.6174733637747334</v>
      </c>
      <c r="H62" s="128">
        <f t="shared" si="22"/>
        <v>0.61580571618275248</v>
      </c>
      <c r="I62" s="128">
        <f t="shared" si="22"/>
        <v>1.3115271627132021</v>
      </c>
      <c r="J62" s="128">
        <f t="shared" si="22"/>
        <v>0.15254175231579553</v>
      </c>
      <c r="K62" s="128">
        <f t="shared" si="22"/>
        <v>0.77940326154255513</v>
      </c>
      <c r="L62" s="128">
        <f t="shared" si="22"/>
        <v>0.7173601911824421</v>
      </c>
    </row>
    <row r="63" spans="1:15" outlineLevel="1">
      <c r="B63" s="112" t="s">
        <v>164</v>
      </c>
      <c r="C63" s="112"/>
      <c r="D63" s="128">
        <f>D43</f>
        <v>0.21875630354444736</v>
      </c>
      <c r="E63" s="128">
        <f t="shared" ref="E63:L63" si="23">E43</f>
        <v>0.25899244205151539</v>
      </c>
      <c r="F63" s="128">
        <f t="shared" si="23"/>
        <v>0.1892305729233125</v>
      </c>
      <c r="G63" s="128">
        <f t="shared" si="23"/>
        <v>0.13442274506502799</v>
      </c>
      <c r="H63" s="128">
        <f t="shared" si="23"/>
        <v>0.16259083864017157</v>
      </c>
      <c r="I63" s="128">
        <f t="shared" si="23"/>
        <v>0.16706735875786916</v>
      </c>
      <c r="J63" s="128">
        <f t="shared" si="23"/>
        <v>0.20733137591398199</v>
      </c>
      <c r="K63" s="128">
        <f t="shared" si="23"/>
        <v>0.16861179917639232</v>
      </c>
      <c r="L63" s="128">
        <f t="shared" si="23"/>
        <v>0.17532354612859216</v>
      </c>
    </row>
    <row r="64" spans="1:15" outlineLevel="1"/>
    <row r="65" spans="1:12" ht="15" outlineLevel="1" thickBot="1">
      <c r="A65" s="110" t="s">
        <v>56</v>
      </c>
      <c r="B65" s="115" t="s">
        <v>175</v>
      </c>
      <c r="C65" s="115"/>
      <c r="D65" s="125">
        <f>D63*D62</f>
        <v>0.28925958487631415</v>
      </c>
      <c r="E65" s="125">
        <f t="shared" ref="E65:L65" si="24">E63*E62</f>
        <v>0.54149529177966282</v>
      </c>
      <c r="F65" s="125">
        <f t="shared" si="24"/>
        <v>0.21359713976186365</v>
      </c>
      <c r="G65" s="146">
        <f>G63*G62</f>
        <v>0.62069344482324829</v>
      </c>
      <c r="H65" s="125">
        <f t="shared" si="24"/>
        <v>0.10012436783356519</v>
      </c>
      <c r="I65" s="125">
        <f>I63*I62</f>
        <v>0.21911337901369676</v>
      </c>
      <c r="J65" s="125">
        <f t="shared" si="24"/>
        <v>3.1626691391963738E-2</v>
      </c>
      <c r="K65" s="125">
        <f>K63*K62</f>
        <v>0.13141658621263849</v>
      </c>
      <c r="L65" s="125">
        <f t="shared" si="24"/>
        <v>0.12577013256959058</v>
      </c>
    </row>
    <row r="66" spans="1:12" outlineLevel="1"/>
    <row r="67" spans="1:12" outlineLevel="1">
      <c r="K67" s="126" t="s">
        <v>172</v>
      </c>
      <c r="L67" s="127">
        <f>AVERAGE(I65:L65)</f>
        <v>0.1269816972969724</v>
      </c>
    </row>
    <row r="68" spans="1:12" outlineLevel="1">
      <c r="K68" s="126" t="s">
        <v>173</v>
      </c>
      <c r="L68" s="127">
        <f>MEDIAN(I65:L65)</f>
        <v>0.12859335939111455</v>
      </c>
    </row>
  </sheetData>
  <pageMargins left="0.25" right="0.25" top="0.75" bottom="0.75" header="0.3" footer="0.3"/>
  <pageSetup paperSize="9" scale="60" orientation="portrait" r:id="rId1"/>
  <ignoredErrors>
    <ignoredError sqref="C41:L41 H47:L47 D47:E47 F47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5273-A109-4F0B-AEA3-A405100CA364}">
  <dimension ref="A2:N66"/>
  <sheetViews>
    <sheetView showGridLines="0" workbookViewId="0">
      <pane ySplit="2" topLeftCell="A3" activePane="bottomLeft" state="frozen"/>
      <selection pane="bottomLeft" activeCell="A7" sqref="A7:XFD7"/>
    </sheetView>
  </sheetViews>
  <sheetFormatPr defaultRowHeight="14.4"/>
  <cols>
    <col min="2" max="2" width="22.6640625" bestFit="1" customWidth="1"/>
    <col min="3" max="14" width="11.21875" customWidth="1"/>
  </cols>
  <sheetData>
    <row r="2" spans="1:14">
      <c r="B2" s="131" t="s">
        <v>204</v>
      </c>
      <c r="C2" s="132">
        <v>42064</v>
      </c>
      <c r="D2" s="132">
        <v>42430</v>
      </c>
      <c r="E2" s="132">
        <v>42795</v>
      </c>
      <c r="F2" s="132">
        <v>43160</v>
      </c>
      <c r="G2" s="132">
        <v>43525</v>
      </c>
      <c r="H2" s="132">
        <v>43891</v>
      </c>
      <c r="I2" s="132">
        <v>44256</v>
      </c>
      <c r="J2" s="132">
        <v>44621</v>
      </c>
      <c r="K2" s="132">
        <v>44986</v>
      </c>
      <c r="L2" s="132">
        <v>45352</v>
      </c>
      <c r="M2" s="132">
        <v>45717</v>
      </c>
      <c r="N2" s="132">
        <v>46082</v>
      </c>
    </row>
    <row r="3" spans="1:14">
      <c r="B3" s="101" t="s">
        <v>176</v>
      </c>
      <c r="C3" s="130">
        <v>2943</v>
      </c>
      <c r="D3" s="130">
        <v>2948</v>
      </c>
      <c r="E3" s="130">
        <v>2959</v>
      </c>
      <c r="F3" s="130">
        <v>5922</v>
      </c>
      <c r="G3" s="130">
        <v>5926</v>
      </c>
      <c r="H3" s="130">
        <v>6339</v>
      </c>
      <c r="I3" s="130">
        <v>6445</v>
      </c>
      <c r="J3" s="130">
        <v>6765</v>
      </c>
      <c r="K3" s="130">
        <v>6766</v>
      </c>
      <c r="L3" s="130">
        <v>6766</v>
      </c>
      <c r="M3" s="130">
        <v>13532</v>
      </c>
      <c r="N3" s="130">
        <v>13532</v>
      </c>
    </row>
    <row r="4" spans="1:14">
      <c r="A4" s="64"/>
      <c r="B4" s="101" t="s">
        <v>32</v>
      </c>
      <c r="C4" s="130">
        <v>215556</v>
      </c>
      <c r="D4" s="130">
        <v>228608</v>
      </c>
      <c r="E4" s="130">
        <v>260750</v>
      </c>
      <c r="F4" s="130">
        <v>287584</v>
      </c>
      <c r="G4" s="130">
        <v>381186</v>
      </c>
      <c r="H4" s="130">
        <v>442827</v>
      </c>
      <c r="I4" s="130">
        <v>693727</v>
      </c>
      <c r="J4" s="130">
        <v>772720</v>
      </c>
      <c r="K4" s="130">
        <v>709106</v>
      </c>
      <c r="L4" s="130">
        <v>786715</v>
      </c>
      <c r="M4" s="130">
        <v>829668</v>
      </c>
      <c r="N4" s="130">
        <v>890498</v>
      </c>
    </row>
    <row r="5" spans="1:14">
      <c r="B5" s="101" t="s">
        <v>177</v>
      </c>
      <c r="C5" s="130">
        <v>168251</v>
      </c>
      <c r="D5" s="130">
        <v>194714</v>
      </c>
      <c r="E5" s="130">
        <v>217475</v>
      </c>
      <c r="F5" s="130">
        <v>239843</v>
      </c>
      <c r="G5" s="130">
        <v>307714</v>
      </c>
      <c r="H5" s="130">
        <v>355133</v>
      </c>
      <c r="I5" s="130">
        <v>278962</v>
      </c>
      <c r="J5" s="130">
        <v>319158</v>
      </c>
      <c r="K5" s="130">
        <v>451664</v>
      </c>
      <c r="L5" s="130">
        <v>350719</v>
      </c>
      <c r="M5" s="130">
        <v>374313</v>
      </c>
      <c r="N5" s="130">
        <v>402962</v>
      </c>
    </row>
    <row r="6" spans="1:14">
      <c r="B6" t="s">
        <v>178</v>
      </c>
      <c r="C6" s="130">
        <v>128165</v>
      </c>
      <c r="D6" s="130">
        <v>154957</v>
      </c>
      <c r="E6" s="130">
        <v>172285</v>
      </c>
      <c r="F6" s="130">
        <v>164385</v>
      </c>
      <c r="G6" s="130">
        <v>226345</v>
      </c>
      <c r="H6" s="130">
        <v>216470</v>
      </c>
      <c r="I6" s="130">
        <v>182520</v>
      </c>
      <c r="J6" s="130">
        <v>224883</v>
      </c>
      <c r="K6" s="130">
        <v>296023</v>
      </c>
      <c r="L6" s="130">
        <v>222712</v>
      </c>
      <c r="M6" s="130">
        <v>236899</v>
      </c>
      <c r="N6" s="130">
        <v>270751</v>
      </c>
    </row>
    <row r="7" spans="1:14">
      <c r="B7" t="s">
        <v>179</v>
      </c>
      <c r="C7" s="130">
        <v>27965</v>
      </c>
      <c r="D7" s="130">
        <v>23545</v>
      </c>
      <c r="E7" s="130">
        <v>31528</v>
      </c>
      <c r="F7" s="130">
        <v>37429</v>
      </c>
      <c r="G7" s="130">
        <v>64436</v>
      </c>
      <c r="H7" s="130">
        <v>93786</v>
      </c>
      <c r="I7" s="130">
        <v>88128</v>
      </c>
      <c r="J7" s="130">
        <v>78606</v>
      </c>
      <c r="K7" s="130">
        <v>130790</v>
      </c>
      <c r="L7" s="130">
        <v>101910</v>
      </c>
      <c r="M7" s="130">
        <v>110631</v>
      </c>
      <c r="N7" s="130">
        <v>103670</v>
      </c>
    </row>
    <row r="8" spans="1:14">
      <c r="B8" t="s">
        <v>180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30">
        <v>8314</v>
      </c>
      <c r="J8" s="130">
        <v>15669</v>
      </c>
      <c r="K8" s="130">
        <v>20426</v>
      </c>
      <c r="L8" s="130">
        <v>21520</v>
      </c>
      <c r="M8" s="130">
        <v>22045</v>
      </c>
      <c r="N8" s="130">
        <v>23579</v>
      </c>
    </row>
    <row r="9" spans="1:14">
      <c r="B9" t="s">
        <v>181</v>
      </c>
      <c r="C9" s="130">
        <v>12121</v>
      </c>
      <c r="D9" s="130">
        <v>16212</v>
      </c>
      <c r="E9" s="130">
        <v>13662</v>
      </c>
      <c r="F9" s="130">
        <v>38029</v>
      </c>
      <c r="G9" s="130">
        <v>16933</v>
      </c>
      <c r="H9" s="130">
        <v>44877</v>
      </c>
      <c r="I9">
        <v>0</v>
      </c>
      <c r="J9">
        <v>0</v>
      </c>
      <c r="K9" s="130">
        <v>4425</v>
      </c>
      <c r="L9" s="130">
        <v>4577</v>
      </c>
      <c r="M9" s="130">
        <v>4738</v>
      </c>
      <c r="N9" s="130">
        <v>4962</v>
      </c>
    </row>
    <row r="10" spans="1:14">
      <c r="B10" s="101" t="s">
        <v>182</v>
      </c>
      <c r="C10" s="130">
        <v>117736</v>
      </c>
      <c r="D10" s="130">
        <v>172727</v>
      </c>
      <c r="E10" s="130">
        <v>225618</v>
      </c>
      <c r="F10" s="130">
        <v>277924</v>
      </c>
      <c r="G10" s="130">
        <v>302804</v>
      </c>
      <c r="H10" s="130">
        <v>358716</v>
      </c>
      <c r="I10" s="130">
        <v>340931</v>
      </c>
      <c r="J10" s="130">
        <v>399979</v>
      </c>
      <c r="K10" s="130">
        <v>438346</v>
      </c>
      <c r="L10" s="130">
        <v>610848</v>
      </c>
      <c r="M10" s="130">
        <v>732200</v>
      </c>
      <c r="N10" s="130">
        <v>870554</v>
      </c>
    </row>
    <row r="11" spans="1:14">
      <c r="B11" t="s">
        <v>183</v>
      </c>
      <c r="C11" s="130">
        <v>3038</v>
      </c>
      <c r="D11" s="130">
        <v>3356</v>
      </c>
      <c r="E11" s="130">
        <v>2917</v>
      </c>
      <c r="F11" s="130">
        <v>3539</v>
      </c>
      <c r="G11" s="130">
        <v>8280</v>
      </c>
      <c r="H11" s="130">
        <v>12181</v>
      </c>
      <c r="I11" s="130">
        <v>99260</v>
      </c>
      <c r="J11" s="130">
        <v>109499</v>
      </c>
      <c r="K11" s="130">
        <v>113009</v>
      </c>
      <c r="L11" s="130">
        <v>132307</v>
      </c>
      <c r="M11" s="130">
        <v>166426</v>
      </c>
      <c r="N11" s="130">
        <v>181836</v>
      </c>
    </row>
    <row r="12" spans="1:14">
      <c r="B12" t="s">
        <v>184</v>
      </c>
      <c r="C12" s="130">
        <v>59407</v>
      </c>
      <c r="D12" s="130">
        <v>60296</v>
      </c>
      <c r="E12" s="130">
        <v>76595</v>
      </c>
      <c r="F12" s="130">
        <v>106861</v>
      </c>
      <c r="G12" s="130">
        <v>108309</v>
      </c>
      <c r="H12" s="130">
        <v>96799</v>
      </c>
      <c r="I12" s="130">
        <v>108897</v>
      </c>
      <c r="J12" s="130">
        <v>159330</v>
      </c>
      <c r="K12" s="130">
        <v>147172</v>
      </c>
      <c r="L12" s="130">
        <v>178377</v>
      </c>
      <c r="M12" s="130">
        <v>186789</v>
      </c>
      <c r="N12" s="130">
        <v>158842</v>
      </c>
    </row>
    <row r="13" spans="1:14">
      <c r="B13" t="s">
        <v>185</v>
      </c>
      <c r="C13" s="130">
        <v>55291</v>
      </c>
      <c r="D13" s="130">
        <v>109075</v>
      </c>
      <c r="E13" s="130">
        <v>146106</v>
      </c>
      <c r="F13" s="130">
        <v>167524</v>
      </c>
      <c r="G13" s="130">
        <v>186215</v>
      </c>
      <c r="H13" s="130">
        <v>249736</v>
      </c>
      <c r="I13" s="130">
        <v>132774</v>
      </c>
      <c r="J13" s="130">
        <v>131150</v>
      </c>
      <c r="K13" s="130">
        <v>178165</v>
      </c>
      <c r="L13" s="130">
        <v>300164</v>
      </c>
      <c r="M13" s="130">
        <v>378985</v>
      </c>
      <c r="N13" s="130">
        <v>529876</v>
      </c>
    </row>
    <row r="14" spans="1:14" ht="15" thickBot="1">
      <c r="B14" s="133" t="s">
        <v>74</v>
      </c>
      <c r="C14" s="134">
        <v>504486</v>
      </c>
      <c r="D14" s="134">
        <v>598997</v>
      </c>
      <c r="E14" s="134">
        <v>706802</v>
      </c>
      <c r="F14" s="134">
        <v>811273</v>
      </c>
      <c r="G14" s="134">
        <v>997630</v>
      </c>
      <c r="H14" s="134">
        <v>1163015</v>
      </c>
      <c r="I14" s="134">
        <v>1320065</v>
      </c>
      <c r="J14" s="134">
        <v>1498622</v>
      </c>
      <c r="K14" s="134">
        <v>1605882</v>
      </c>
      <c r="L14" s="134">
        <v>1755048</v>
      </c>
      <c r="M14" s="134">
        <v>1949713</v>
      </c>
      <c r="N14" s="134">
        <v>2177546</v>
      </c>
    </row>
    <row r="15" spans="1:14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</row>
    <row r="16" spans="1:14">
      <c r="B16" s="101" t="s">
        <v>186</v>
      </c>
      <c r="C16" s="130">
        <v>156458</v>
      </c>
      <c r="D16" s="130">
        <v>184910</v>
      </c>
      <c r="E16" s="130">
        <v>198526</v>
      </c>
      <c r="F16" s="130">
        <v>403885</v>
      </c>
      <c r="G16" s="130">
        <v>398374</v>
      </c>
      <c r="H16" s="130">
        <v>532658</v>
      </c>
      <c r="I16" s="130">
        <v>541258</v>
      </c>
      <c r="J16" s="130">
        <v>627798</v>
      </c>
      <c r="K16" s="130">
        <v>724805</v>
      </c>
      <c r="L16" s="130">
        <v>779985</v>
      </c>
      <c r="M16" s="130">
        <v>999393</v>
      </c>
      <c r="N16" s="130">
        <v>1124795</v>
      </c>
    </row>
    <row r="17" spans="2:14">
      <c r="B17" t="s">
        <v>187</v>
      </c>
      <c r="C17" s="130">
        <v>9859</v>
      </c>
      <c r="D17" s="130">
        <v>63734</v>
      </c>
      <c r="E17" s="130">
        <v>65973</v>
      </c>
      <c r="F17" s="130">
        <v>66765</v>
      </c>
      <c r="G17" s="130">
        <v>49371</v>
      </c>
      <c r="H17" s="130">
        <v>68743</v>
      </c>
      <c r="I17" s="130">
        <v>68768</v>
      </c>
      <c r="J17" s="130">
        <v>69855</v>
      </c>
      <c r="K17" s="130">
        <v>79697</v>
      </c>
      <c r="L17" s="130">
        <v>87287</v>
      </c>
      <c r="M17" s="130">
        <v>102088</v>
      </c>
      <c r="N17" s="130">
        <v>103974</v>
      </c>
    </row>
    <row r="18" spans="2:14">
      <c r="B18" t="s">
        <v>188</v>
      </c>
      <c r="C18" s="130">
        <v>13967</v>
      </c>
      <c r="D18" s="130">
        <v>15283</v>
      </c>
      <c r="E18" s="130">
        <v>18813</v>
      </c>
      <c r="F18" s="130">
        <v>22194</v>
      </c>
      <c r="G18" s="130">
        <v>27672</v>
      </c>
      <c r="H18" s="130">
        <v>34380</v>
      </c>
      <c r="I18" s="130">
        <v>36781</v>
      </c>
      <c r="J18" s="130">
        <v>47561</v>
      </c>
      <c r="K18" s="130">
        <v>69747</v>
      </c>
      <c r="L18" s="130">
        <v>82062</v>
      </c>
      <c r="M18" s="130">
        <v>106351</v>
      </c>
      <c r="N18" s="130">
        <v>110548</v>
      </c>
    </row>
    <row r="19" spans="2:14">
      <c r="B19" t="s">
        <v>189</v>
      </c>
      <c r="C19" s="130">
        <v>158698</v>
      </c>
      <c r="D19" s="130">
        <v>168888</v>
      </c>
      <c r="E19" s="130">
        <v>179326</v>
      </c>
      <c r="F19" s="130">
        <v>325183</v>
      </c>
      <c r="G19" s="130">
        <v>318853</v>
      </c>
      <c r="H19" s="130">
        <v>449770</v>
      </c>
      <c r="I19" s="130">
        <v>471201</v>
      </c>
      <c r="J19" s="130">
        <v>518865</v>
      </c>
      <c r="K19" s="130">
        <v>557687</v>
      </c>
      <c r="L19" s="130">
        <v>579067</v>
      </c>
      <c r="M19" s="130">
        <v>640511</v>
      </c>
      <c r="N19" s="130">
        <v>727877</v>
      </c>
    </row>
    <row r="20" spans="2:14">
      <c r="B20" t="s">
        <v>190</v>
      </c>
      <c r="C20">
        <v>397</v>
      </c>
      <c r="D20">
        <v>422</v>
      </c>
      <c r="E20" s="130">
        <v>3484</v>
      </c>
      <c r="F20" s="130">
        <v>5038</v>
      </c>
      <c r="G20">
        <v>417</v>
      </c>
      <c r="H20">
        <v>502</v>
      </c>
      <c r="I20">
        <v>515</v>
      </c>
      <c r="J20">
        <v>508</v>
      </c>
      <c r="K20">
        <v>518</v>
      </c>
      <c r="L20">
        <v>522</v>
      </c>
      <c r="M20">
        <v>527</v>
      </c>
      <c r="N20">
        <v>551</v>
      </c>
    </row>
    <row r="21" spans="2:14"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30">
        <v>32638</v>
      </c>
      <c r="K21" s="130">
        <v>45067</v>
      </c>
      <c r="L21" s="130">
        <v>59936</v>
      </c>
      <c r="M21">
        <v>0</v>
      </c>
      <c r="N21">
        <v>0</v>
      </c>
    </row>
    <row r="22" spans="2:14">
      <c r="B22" t="s">
        <v>192</v>
      </c>
      <c r="C22" s="130">
        <v>4835</v>
      </c>
      <c r="D22" s="130">
        <v>6282</v>
      </c>
      <c r="E22" s="130">
        <v>7848</v>
      </c>
      <c r="F22" s="130">
        <v>10146</v>
      </c>
      <c r="G22" s="130">
        <v>21817</v>
      </c>
      <c r="H22" s="130">
        <v>31211</v>
      </c>
      <c r="I22" s="130">
        <v>38039</v>
      </c>
      <c r="J22" s="130">
        <v>24970</v>
      </c>
      <c r="K22" s="130">
        <v>38161</v>
      </c>
      <c r="L22" s="130">
        <v>43458</v>
      </c>
      <c r="M22" s="130">
        <v>111604</v>
      </c>
      <c r="N22" s="130">
        <v>121211</v>
      </c>
    </row>
    <row r="23" spans="2:14">
      <c r="B23" t="s">
        <v>193</v>
      </c>
      <c r="C23">
        <v>710</v>
      </c>
      <c r="D23">
        <v>777</v>
      </c>
      <c r="E23" s="130">
        <v>1155</v>
      </c>
      <c r="F23" s="130">
        <v>1199</v>
      </c>
      <c r="G23" s="130">
        <v>1240</v>
      </c>
      <c r="H23" s="130">
        <v>1411</v>
      </c>
      <c r="I23" s="130">
        <v>2336</v>
      </c>
      <c r="J23" s="130">
        <v>2530</v>
      </c>
      <c r="K23" s="130">
        <v>3667</v>
      </c>
      <c r="L23" s="130">
        <v>3745</v>
      </c>
      <c r="M23" s="130">
        <v>4178</v>
      </c>
      <c r="N23" s="130">
        <v>5044</v>
      </c>
    </row>
    <row r="24" spans="2:14">
      <c r="B24" t="s">
        <v>194</v>
      </c>
      <c r="C24" s="130">
        <v>88103</v>
      </c>
      <c r="D24" s="130">
        <v>68660</v>
      </c>
      <c r="E24" s="130">
        <v>75351</v>
      </c>
      <c r="F24" s="130">
        <v>76599</v>
      </c>
      <c r="G24" s="130">
        <v>86765</v>
      </c>
      <c r="H24" s="130">
        <v>81462</v>
      </c>
      <c r="I24" s="130">
        <v>77353</v>
      </c>
      <c r="J24" s="130">
        <v>65970</v>
      </c>
      <c r="K24" s="130">
        <v>85032</v>
      </c>
      <c r="L24" s="130">
        <v>112873</v>
      </c>
      <c r="M24" s="130">
        <v>160656</v>
      </c>
      <c r="N24" s="130">
        <v>167504</v>
      </c>
    </row>
    <row r="25" spans="2:14">
      <c r="B25" t="s">
        <v>195</v>
      </c>
      <c r="C25" s="130">
        <v>12297</v>
      </c>
      <c r="D25" s="130">
        <v>11453</v>
      </c>
      <c r="E25" s="130">
        <v>9343</v>
      </c>
      <c r="F25" s="130">
        <v>74160</v>
      </c>
      <c r="G25" s="130">
        <v>90387</v>
      </c>
      <c r="H25" s="130">
        <v>76299</v>
      </c>
      <c r="I25" s="130">
        <v>80819</v>
      </c>
      <c r="J25" s="130">
        <v>120717</v>
      </c>
      <c r="K25" s="130">
        <v>138426</v>
      </c>
      <c r="L25" s="130">
        <v>145632</v>
      </c>
      <c r="M25" s="130">
        <v>249903</v>
      </c>
      <c r="N25" s="130">
        <v>318878</v>
      </c>
    </row>
    <row r="26" spans="2:14">
      <c r="B26" s="137" t="s">
        <v>196</v>
      </c>
      <c r="C26" s="138">
        <v>288866</v>
      </c>
      <c r="D26" s="138">
        <v>335499</v>
      </c>
      <c r="E26" s="138">
        <v>361293</v>
      </c>
      <c r="F26" s="138">
        <v>581284</v>
      </c>
      <c r="G26" s="138">
        <v>596522</v>
      </c>
      <c r="H26" s="138">
        <v>743778</v>
      </c>
      <c r="I26" s="138">
        <v>775812</v>
      </c>
      <c r="J26" s="138">
        <v>883614</v>
      </c>
      <c r="K26" s="138">
        <v>1018002</v>
      </c>
      <c r="L26" s="138">
        <v>1114582</v>
      </c>
      <c r="M26" s="138">
        <v>1375818</v>
      </c>
      <c r="N26" s="138">
        <v>1555587</v>
      </c>
    </row>
    <row r="27" spans="2:14">
      <c r="B27" s="101" t="s">
        <v>197</v>
      </c>
      <c r="C27" s="130">
        <v>132408</v>
      </c>
      <c r="D27" s="130">
        <v>150589</v>
      </c>
      <c r="E27" s="130">
        <v>162767</v>
      </c>
      <c r="F27" s="130">
        <v>177399</v>
      </c>
      <c r="G27" s="130">
        <v>198148</v>
      </c>
      <c r="H27" s="130">
        <v>211120</v>
      </c>
      <c r="I27" s="130">
        <v>234554</v>
      </c>
      <c r="J27" s="130">
        <v>255816</v>
      </c>
      <c r="K27" s="130">
        <v>293197</v>
      </c>
      <c r="L27" s="130">
        <v>334597</v>
      </c>
      <c r="M27" s="130">
        <v>376425</v>
      </c>
      <c r="N27" s="130">
        <v>430792</v>
      </c>
    </row>
    <row r="28" spans="2:14">
      <c r="B28" s="101" t="s">
        <v>76</v>
      </c>
      <c r="C28" s="130">
        <v>166462</v>
      </c>
      <c r="D28" s="130">
        <v>228697</v>
      </c>
      <c r="E28" s="130">
        <v>324837</v>
      </c>
      <c r="F28" s="130">
        <v>187022</v>
      </c>
      <c r="G28" s="130">
        <v>179463</v>
      </c>
      <c r="H28" s="130">
        <v>109106</v>
      </c>
      <c r="I28" s="130">
        <v>125953</v>
      </c>
      <c r="J28" s="130">
        <v>172506</v>
      </c>
      <c r="K28" s="130">
        <v>293752</v>
      </c>
      <c r="L28" s="130">
        <v>338855</v>
      </c>
      <c r="M28" s="130">
        <v>262358</v>
      </c>
      <c r="N28" s="130">
        <v>237686</v>
      </c>
    </row>
    <row r="29" spans="2:14">
      <c r="B29" s="101" t="s">
        <v>38</v>
      </c>
      <c r="C29" s="130">
        <v>76451</v>
      </c>
      <c r="D29" s="130">
        <v>84015</v>
      </c>
      <c r="E29" s="130">
        <v>82899</v>
      </c>
      <c r="F29" s="130">
        <v>82862</v>
      </c>
      <c r="G29" s="130">
        <v>235635</v>
      </c>
      <c r="H29" s="130">
        <v>276767</v>
      </c>
      <c r="I29" s="130">
        <v>364828</v>
      </c>
      <c r="J29" s="130">
        <v>394264</v>
      </c>
      <c r="K29" s="130">
        <v>235560</v>
      </c>
      <c r="L29" s="130">
        <v>225672</v>
      </c>
      <c r="M29" s="130">
        <v>242381</v>
      </c>
      <c r="N29" s="130">
        <v>248332</v>
      </c>
    </row>
    <row r="30" spans="2:14">
      <c r="B30" s="101" t="s">
        <v>198</v>
      </c>
      <c r="C30" s="130">
        <v>105115</v>
      </c>
      <c r="D30" s="130">
        <v>101375</v>
      </c>
      <c r="E30" s="130">
        <v>100540</v>
      </c>
      <c r="F30" s="130">
        <v>137504</v>
      </c>
      <c r="G30" s="130">
        <v>184158</v>
      </c>
      <c r="H30" s="130">
        <v>244484</v>
      </c>
      <c r="I30" s="130">
        <v>288026</v>
      </c>
      <c r="J30" s="130">
        <v>304054</v>
      </c>
      <c r="K30" s="130">
        <v>351765</v>
      </c>
      <c r="L30" s="130">
        <v>410536</v>
      </c>
      <c r="M30" s="130">
        <v>445581</v>
      </c>
      <c r="N30" s="130">
        <v>566733</v>
      </c>
    </row>
    <row r="31" spans="2:14">
      <c r="B31" t="s">
        <v>199</v>
      </c>
      <c r="C31" s="130">
        <v>53248</v>
      </c>
      <c r="D31" s="130">
        <v>46486</v>
      </c>
      <c r="E31" s="130">
        <v>48951</v>
      </c>
      <c r="F31" s="130">
        <v>60837</v>
      </c>
      <c r="G31" s="130">
        <v>67561</v>
      </c>
      <c r="H31" s="130">
        <v>73903</v>
      </c>
      <c r="I31" s="130">
        <v>81672</v>
      </c>
      <c r="J31" s="130">
        <v>107778</v>
      </c>
      <c r="K31" s="130">
        <v>140008</v>
      </c>
      <c r="L31" s="130">
        <v>152770</v>
      </c>
      <c r="M31" s="130">
        <v>146062</v>
      </c>
      <c r="N31" s="130">
        <v>166941</v>
      </c>
    </row>
    <row r="32" spans="2:14">
      <c r="B32" t="s">
        <v>200</v>
      </c>
      <c r="C32" s="130">
        <v>5315</v>
      </c>
      <c r="D32" s="130">
        <v>4465</v>
      </c>
      <c r="E32" s="130">
        <v>8177</v>
      </c>
      <c r="F32" s="130">
        <v>17555</v>
      </c>
      <c r="G32" s="130">
        <v>30089</v>
      </c>
      <c r="H32" s="130">
        <v>19656</v>
      </c>
      <c r="I32" s="130">
        <v>19014</v>
      </c>
      <c r="J32" s="130">
        <v>23640</v>
      </c>
      <c r="K32" s="130">
        <v>28448</v>
      </c>
      <c r="L32" s="130">
        <v>31628</v>
      </c>
      <c r="M32" s="130">
        <v>42121</v>
      </c>
      <c r="N32" s="130">
        <v>58491</v>
      </c>
    </row>
    <row r="33" spans="2:14">
      <c r="B33" t="s">
        <v>201</v>
      </c>
      <c r="C33" s="130">
        <v>12545</v>
      </c>
      <c r="D33" s="130">
        <v>11028</v>
      </c>
      <c r="E33" s="130">
        <v>3023</v>
      </c>
      <c r="F33" s="130">
        <v>4255</v>
      </c>
      <c r="G33" s="130">
        <v>11081</v>
      </c>
      <c r="H33" s="130">
        <v>30920</v>
      </c>
      <c r="I33" s="130">
        <v>17397</v>
      </c>
      <c r="J33" s="130">
        <v>36178</v>
      </c>
      <c r="K33" s="130">
        <v>68664</v>
      </c>
      <c r="L33" s="130">
        <v>97225</v>
      </c>
      <c r="M33" s="130">
        <v>106502</v>
      </c>
      <c r="N33" s="130">
        <v>145977</v>
      </c>
    </row>
    <row r="34" spans="2:14">
      <c r="B34" t="s">
        <v>202</v>
      </c>
      <c r="C34">
        <v>0</v>
      </c>
      <c r="D34">
        <v>841</v>
      </c>
      <c r="E34">
        <v>996</v>
      </c>
      <c r="F34" s="130">
        <v>2327</v>
      </c>
      <c r="G34">
        <v>545</v>
      </c>
      <c r="H34">
        <v>669</v>
      </c>
      <c r="I34">
        <v>65</v>
      </c>
      <c r="J34">
        <v>130</v>
      </c>
      <c r="K34">
        <v>176</v>
      </c>
      <c r="L34" s="130">
        <v>2517</v>
      </c>
      <c r="M34" s="130">
        <v>5182</v>
      </c>
      <c r="N34" s="130">
        <v>4870</v>
      </c>
    </row>
    <row r="35" spans="2:14">
      <c r="B35" t="s">
        <v>203</v>
      </c>
      <c r="C35" s="130">
        <v>34007</v>
      </c>
      <c r="D35" s="130">
        <v>38555</v>
      </c>
      <c r="E35" s="130">
        <v>39393</v>
      </c>
      <c r="F35" s="130">
        <v>52530</v>
      </c>
      <c r="G35" s="130">
        <v>74882</v>
      </c>
      <c r="H35" s="130">
        <v>119336</v>
      </c>
      <c r="I35" s="130">
        <v>169878</v>
      </c>
      <c r="J35" s="130">
        <v>136328</v>
      </c>
      <c r="K35" s="130">
        <v>114469</v>
      </c>
      <c r="L35" s="130">
        <v>126396</v>
      </c>
      <c r="M35" s="130">
        <v>145714</v>
      </c>
      <c r="N35" s="130">
        <v>190454</v>
      </c>
    </row>
    <row r="36" spans="2:14" ht="15" thickBot="1">
      <c r="B36" s="135" t="s">
        <v>81</v>
      </c>
      <c r="C36" s="136">
        <v>504486</v>
      </c>
      <c r="D36" s="136">
        <v>598997</v>
      </c>
      <c r="E36" s="136">
        <v>706802</v>
      </c>
      <c r="F36" s="136">
        <v>811273</v>
      </c>
      <c r="G36" s="136">
        <v>997630</v>
      </c>
      <c r="H36" s="136">
        <v>1163015</v>
      </c>
      <c r="I36" s="136">
        <v>1320065</v>
      </c>
      <c r="J36" s="136">
        <v>1498622</v>
      </c>
      <c r="K36" s="136">
        <v>1605882</v>
      </c>
      <c r="L36" s="136">
        <v>1755048</v>
      </c>
      <c r="M36" s="136">
        <v>1949713</v>
      </c>
      <c r="N36" s="136">
        <v>2177546</v>
      </c>
    </row>
    <row r="37" spans="2:14" ht="15" thickTop="1"/>
    <row r="39" spans="2:14">
      <c r="C39" s="129">
        <v>42064</v>
      </c>
      <c r="D39" s="129">
        <v>42430</v>
      </c>
      <c r="E39" s="129">
        <v>42795</v>
      </c>
      <c r="F39" s="129">
        <v>43160</v>
      </c>
      <c r="G39" s="129">
        <v>43525</v>
      </c>
      <c r="H39" s="129">
        <v>43891</v>
      </c>
      <c r="I39" s="129">
        <v>44256</v>
      </c>
      <c r="J39" s="129">
        <v>44621</v>
      </c>
      <c r="K39" s="129">
        <v>44986</v>
      </c>
      <c r="L39" s="129">
        <v>45352</v>
      </c>
      <c r="M39" s="129">
        <v>45717</v>
      </c>
      <c r="N39" s="129">
        <v>46082</v>
      </c>
    </row>
    <row r="40" spans="2:14">
      <c r="B40" t="s">
        <v>210</v>
      </c>
      <c r="C40" s="130">
        <v>34374</v>
      </c>
      <c r="D40" s="130">
        <v>38134</v>
      </c>
      <c r="E40" s="130">
        <v>49550</v>
      </c>
      <c r="F40" s="130">
        <v>71459</v>
      </c>
      <c r="G40" s="130">
        <v>42346</v>
      </c>
      <c r="H40" s="130">
        <v>94877</v>
      </c>
      <c r="I40" s="130">
        <v>26958</v>
      </c>
      <c r="J40" s="130">
        <v>110654</v>
      </c>
      <c r="K40" s="130">
        <v>115032</v>
      </c>
      <c r="L40" s="130">
        <v>158788</v>
      </c>
      <c r="M40" s="130">
        <v>178703</v>
      </c>
      <c r="N40" s="130">
        <v>192113</v>
      </c>
    </row>
    <row r="41" spans="2:14">
      <c r="B41" t="s">
        <v>211</v>
      </c>
      <c r="C41" s="130">
        <v>38994</v>
      </c>
      <c r="D41" s="130">
        <v>38887</v>
      </c>
      <c r="E41" s="130">
        <v>44170</v>
      </c>
      <c r="F41" s="130">
        <v>62765</v>
      </c>
      <c r="G41" s="130">
        <v>83319</v>
      </c>
      <c r="H41" s="130">
        <v>85347</v>
      </c>
      <c r="I41" s="130">
        <v>80129</v>
      </c>
      <c r="J41" s="130">
        <v>113726</v>
      </c>
      <c r="K41" s="130">
        <v>140963</v>
      </c>
      <c r="L41" s="130">
        <v>164383</v>
      </c>
      <c r="M41" s="130">
        <v>166904</v>
      </c>
      <c r="N41" s="130">
        <v>189224</v>
      </c>
    </row>
    <row r="42" spans="2:14">
      <c r="B42" t="s">
        <v>40</v>
      </c>
      <c r="C42" s="130">
        <v>1097</v>
      </c>
      <c r="D42" s="130">
        <v>-6880</v>
      </c>
      <c r="E42" s="130">
        <v>-8511</v>
      </c>
      <c r="F42" s="130">
        <v>-21991</v>
      </c>
      <c r="G42" s="130">
        <v>-40136</v>
      </c>
      <c r="H42" s="130">
        <v>-13792</v>
      </c>
      <c r="I42">
        <v>959</v>
      </c>
      <c r="J42" s="130">
        <v>-14180</v>
      </c>
      <c r="K42" s="130">
        <v>13194</v>
      </c>
      <c r="L42" s="130">
        <v>-15674</v>
      </c>
      <c r="M42" s="130">
        <v>-17837</v>
      </c>
      <c r="N42" s="130">
        <v>-53322</v>
      </c>
    </row>
    <row r="43" spans="2:14">
      <c r="B43" t="s">
        <v>41</v>
      </c>
      <c r="C43" s="130">
        <v>3472</v>
      </c>
      <c r="D43" s="130">
        <v>6758</v>
      </c>
      <c r="E43" s="130">
        <v>-6899</v>
      </c>
      <c r="F43" s="130">
        <v>-10474</v>
      </c>
      <c r="G43" s="130">
        <v>-6724</v>
      </c>
      <c r="H43" s="130">
        <v>-6342</v>
      </c>
      <c r="I43" s="130">
        <v>-7769</v>
      </c>
      <c r="J43" s="130">
        <v>-24983</v>
      </c>
      <c r="K43" s="130">
        <v>-32228</v>
      </c>
      <c r="L43" s="130">
        <v>-12756</v>
      </c>
      <c r="M43" s="130">
        <v>3134</v>
      </c>
      <c r="N43" s="130">
        <v>-20790</v>
      </c>
    </row>
    <row r="44" spans="2:14">
      <c r="B44" t="s">
        <v>212</v>
      </c>
      <c r="C44" s="130">
        <v>-2754</v>
      </c>
      <c r="D44" s="130">
        <v>7951</v>
      </c>
      <c r="E44" s="130">
        <v>30873</v>
      </c>
      <c r="F44" s="130">
        <v>51003</v>
      </c>
      <c r="G44" s="130">
        <v>18078</v>
      </c>
      <c r="H44" s="130">
        <v>38050</v>
      </c>
      <c r="I44" s="130">
        <v>-43148</v>
      </c>
      <c r="J44" s="130">
        <v>39888</v>
      </c>
      <c r="K44">
        <v>-600</v>
      </c>
      <c r="L44" s="130">
        <v>34796</v>
      </c>
      <c r="M44" s="130">
        <v>38427</v>
      </c>
      <c r="N44" s="130">
        <v>86609</v>
      </c>
    </row>
    <row r="45" spans="2:14">
      <c r="B45" t="s">
        <v>213</v>
      </c>
      <c r="C45" s="130">
        <v>1815</v>
      </c>
      <c r="D45" s="130">
        <v>7829</v>
      </c>
      <c r="E45" s="130">
        <v>15463</v>
      </c>
      <c r="F45" s="130">
        <v>18538</v>
      </c>
      <c r="G45" s="130">
        <v>-28782</v>
      </c>
      <c r="H45" s="130">
        <v>17916</v>
      </c>
      <c r="I45" s="130">
        <v>-49958</v>
      </c>
      <c r="J45">
        <v>725</v>
      </c>
      <c r="K45" s="130">
        <v>-19634</v>
      </c>
      <c r="L45" s="130">
        <v>6366</v>
      </c>
      <c r="M45" s="130">
        <v>23724</v>
      </c>
      <c r="N45" s="130">
        <v>12497</v>
      </c>
    </row>
    <row r="46" spans="2:14">
      <c r="B46" t="s">
        <v>214</v>
      </c>
      <c r="C46" s="130">
        <v>-6435</v>
      </c>
      <c r="D46" s="130">
        <v>-8582</v>
      </c>
      <c r="E46" s="130">
        <v>-10083</v>
      </c>
      <c r="F46" s="130">
        <v>-9844</v>
      </c>
      <c r="G46" s="130">
        <v>-12191</v>
      </c>
      <c r="H46" s="130">
        <v>-8386</v>
      </c>
      <c r="I46" s="130">
        <v>-3213</v>
      </c>
      <c r="J46" s="130">
        <v>-3797</v>
      </c>
      <c r="K46" s="130">
        <v>-6297</v>
      </c>
      <c r="L46" s="130">
        <v>-11961</v>
      </c>
      <c r="M46" s="130">
        <v>-11925</v>
      </c>
      <c r="N46" s="130">
        <v>-9608</v>
      </c>
    </row>
    <row r="47" spans="2:14">
      <c r="B47" t="s">
        <v>215</v>
      </c>
      <c r="C47" s="130">
        <v>-64706</v>
      </c>
      <c r="D47" s="130">
        <v>-36186</v>
      </c>
      <c r="E47" s="130">
        <v>-66201</v>
      </c>
      <c r="F47" s="130">
        <v>-68192</v>
      </c>
      <c r="G47" s="130">
        <v>-94507</v>
      </c>
      <c r="H47" s="130">
        <v>-72497</v>
      </c>
      <c r="I47" s="130">
        <v>-142385</v>
      </c>
      <c r="J47" s="130">
        <v>-109162</v>
      </c>
      <c r="K47" s="130">
        <v>-93001</v>
      </c>
      <c r="L47" s="130">
        <v>-113581</v>
      </c>
      <c r="M47" s="130">
        <v>-137535</v>
      </c>
      <c r="N47" s="130">
        <v>-101089</v>
      </c>
    </row>
    <row r="48" spans="2:14">
      <c r="B48" s="101" t="s">
        <v>216</v>
      </c>
      <c r="C48" s="130">
        <v>-63364</v>
      </c>
      <c r="D48" s="130">
        <v>-46898</v>
      </c>
      <c r="E48" s="130">
        <v>-78109</v>
      </c>
      <c r="F48" s="130">
        <v>-73953</v>
      </c>
      <c r="G48" s="130">
        <v>-93626</v>
      </c>
      <c r="H48" s="130">
        <v>-76517</v>
      </c>
      <c r="I48" s="130">
        <v>-105837</v>
      </c>
      <c r="J48" s="130">
        <v>-100145</v>
      </c>
      <c r="K48" s="130">
        <v>-140988</v>
      </c>
      <c r="L48" s="130">
        <v>-152883</v>
      </c>
      <c r="M48" s="130">
        <v>-139967</v>
      </c>
      <c r="N48" s="130">
        <v>-122916</v>
      </c>
    </row>
    <row r="49" spans="2:14">
      <c r="B49" s="101" t="s">
        <v>217</v>
      </c>
      <c r="C49">
        <v>402</v>
      </c>
      <c r="D49">
        <v>344</v>
      </c>
      <c r="E49" s="130">
        <v>1482</v>
      </c>
      <c r="F49">
        <v>999</v>
      </c>
      <c r="G49">
        <v>849</v>
      </c>
      <c r="H49">
        <v>964</v>
      </c>
      <c r="I49" s="130">
        <v>2319</v>
      </c>
      <c r="J49" s="130">
        <v>3137</v>
      </c>
      <c r="K49" s="130">
        <v>9186</v>
      </c>
      <c r="L49" s="130">
        <v>15307</v>
      </c>
      <c r="M49" s="130">
        <v>2343</v>
      </c>
      <c r="N49">
        <v>826</v>
      </c>
    </row>
    <row r="50" spans="2:14">
      <c r="B50" t="s">
        <v>218</v>
      </c>
      <c r="C50" s="130">
        <v>-678241</v>
      </c>
      <c r="D50" s="130">
        <v>-715334</v>
      </c>
      <c r="E50" s="130">
        <v>-654760</v>
      </c>
      <c r="F50" s="130">
        <v>-533984</v>
      </c>
      <c r="G50" s="130">
        <v>-1107439</v>
      </c>
      <c r="H50" s="130">
        <v>-1156843</v>
      </c>
      <c r="I50" s="130">
        <v>-689866</v>
      </c>
      <c r="J50" s="130">
        <v>-667878</v>
      </c>
      <c r="K50" s="130">
        <v>-471822</v>
      </c>
      <c r="L50" s="130">
        <v>-513660</v>
      </c>
      <c r="M50" s="130">
        <v>-684340</v>
      </c>
      <c r="N50" s="130">
        <v>-988777</v>
      </c>
    </row>
    <row r="51" spans="2:14">
      <c r="B51" t="s">
        <v>219</v>
      </c>
      <c r="C51" s="130">
        <v>666383</v>
      </c>
      <c r="D51" s="130">
        <v>721182</v>
      </c>
      <c r="E51" s="130">
        <v>663990</v>
      </c>
      <c r="F51" s="130">
        <v>537504</v>
      </c>
      <c r="G51" s="130">
        <v>1103615</v>
      </c>
      <c r="H51" s="130">
        <v>1174796</v>
      </c>
      <c r="I51" s="130">
        <v>642551</v>
      </c>
      <c r="J51" s="130">
        <v>668137</v>
      </c>
      <c r="K51" s="130">
        <v>501266</v>
      </c>
      <c r="L51" s="130">
        <v>531355</v>
      </c>
      <c r="M51" s="130">
        <v>672558</v>
      </c>
      <c r="N51" s="130">
        <v>991876</v>
      </c>
    </row>
    <row r="52" spans="2:14">
      <c r="B52" t="s">
        <v>220</v>
      </c>
      <c r="C52" s="130">
        <v>6055</v>
      </c>
      <c r="D52" s="130">
        <v>2942</v>
      </c>
      <c r="E52" s="130">
        <v>1110</v>
      </c>
      <c r="F52" s="130">
        <v>1310</v>
      </c>
      <c r="G52">
        <v>972</v>
      </c>
      <c r="H52" s="130">
        <v>1441</v>
      </c>
      <c r="I52" s="130">
        <v>8400</v>
      </c>
      <c r="J52" s="130">
        <v>5933</v>
      </c>
      <c r="K52" s="130">
        <v>11103</v>
      </c>
      <c r="L52" s="130">
        <v>10648</v>
      </c>
      <c r="M52" s="130">
        <v>15833</v>
      </c>
      <c r="N52" s="130">
        <v>13538</v>
      </c>
    </row>
    <row r="53" spans="2:14">
      <c r="B53" t="s">
        <v>221</v>
      </c>
      <c r="C53">
        <v>548</v>
      </c>
      <c r="D53">
        <v>732</v>
      </c>
      <c r="E53">
        <v>345</v>
      </c>
      <c r="F53" s="130">
        <v>1021</v>
      </c>
      <c r="G53">
        <v>501</v>
      </c>
      <c r="H53">
        <v>78</v>
      </c>
      <c r="I53">
        <v>26</v>
      </c>
      <c r="J53">
        <v>19</v>
      </c>
      <c r="K53">
        <v>20</v>
      </c>
      <c r="L53">
        <v>75</v>
      </c>
      <c r="M53">
        <v>612</v>
      </c>
      <c r="N53" s="130">
        <v>9100</v>
      </c>
    </row>
    <row r="54" spans="2:14">
      <c r="B54" t="s">
        <v>222</v>
      </c>
      <c r="C54" s="130">
        <v>3511</v>
      </c>
      <c r="D54">
        <v>846</v>
      </c>
      <c r="E54">
        <v>-259</v>
      </c>
      <c r="F54" s="130">
        <v>-1089</v>
      </c>
      <c r="G54">
        <v>621</v>
      </c>
      <c r="H54" s="130">
        <v>-16416</v>
      </c>
      <c r="I54">
        <v>22</v>
      </c>
      <c r="J54" s="130">
        <v>-18365</v>
      </c>
      <c r="K54" s="130">
        <v>-1766</v>
      </c>
      <c r="L54" s="130">
        <v>-4423</v>
      </c>
      <c r="M54" s="130">
        <v>-4574</v>
      </c>
      <c r="N54" s="130">
        <v>-4736</v>
      </c>
    </row>
    <row r="55" spans="2:14">
      <c r="B55" t="s">
        <v>223</v>
      </c>
      <c r="C55" s="130">
        <v>8444</v>
      </c>
      <c r="D55" s="130">
        <v>-3210</v>
      </c>
      <c r="E55" s="130">
        <v>8617</v>
      </c>
      <c r="F55" s="130">
        <v>-2001</v>
      </c>
      <c r="G55" s="130">
        <v>55906</v>
      </c>
      <c r="H55" s="130">
        <v>-2541</v>
      </c>
      <c r="I55" s="130">
        <v>101904</v>
      </c>
      <c r="J55" s="130">
        <v>17289</v>
      </c>
      <c r="K55" s="130">
        <v>10455</v>
      </c>
      <c r="L55" s="130">
        <v>-16646</v>
      </c>
      <c r="M55" s="130">
        <v>-31891</v>
      </c>
      <c r="N55" s="130">
        <v>-51549</v>
      </c>
    </row>
    <row r="56" spans="2:14">
      <c r="B56" t="s">
        <v>224</v>
      </c>
      <c r="C56">
        <v>343</v>
      </c>
      <c r="D56">
        <v>288</v>
      </c>
      <c r="E56">
        <v>811</v>
      </c>
      <c r="F56">
        <v>406</v>
      </c>
      <c r="G56">
        <v>230</v>
      </c>
      <c r="H56">
        <v>129</v>
      </c>
      <c r="I56">
        <v>5</v>
      </c>
      <c r="J56">
        <v>455</v>
      </c>
      <c r="K56">
        <v>479</v>
      </c>
      <c r="L56" s="130">
        <v>20915</v>
      </c>
      <c r="M56">
        <v>22</v>
      </c>
      <c r="N56">
        <v>0</v>
      </c>
    </row>
    <row r="57" spans="2:14">
      <c r="B57" t="s">
        <v>225</v>
      </c>
      <c r="C57" s="130">
        <v>29413</v>
      </c>
      <c r="D57" s="130">
        <v>34673</v>
      </c>
      <c r="E57" s="130">
        <v>31728</v>
      </c>
      <c r="F57" s="130">
        <v>36970</v>
      </c>
      <c r="G57" s="130">
        <v>106701</v>
      </c>
      <c r="H57" s="130">
        <v>53760</v>
      </c>
      <c r="I57" s="130">
        <v>46421</v>
      </c>
      <c r="J57" s="130">
        <v>59343</v>
      </c>
      <c r="K57" s="130">
        <v>67134</v>
      </c>
      <c r="L57" s="130">
        <v>69610</v>
      </c>
      <c r="M57" s="130">
        <v>51002</v>
      </c>
      <c r="N57" s="130">
        <v>38871</v>
      </c>
    </row>
    <row r="58" spans="2:14">
      <c r="B58" t="s">
        <v>226</v>
      </c>
      <c r="C58" s="130">
        <v>-11909</v>
      </c>
      <c r="D58" s="130">
        <v>-21693</v>
      </c>
      <c r="E58" s="130">
        <v>-18542</v>
      </c>
      <c r="F58" s="130">
        <v>-19813</v>
      </c>
      <c r="G58" s="130">
        <v>-20245</v>
      </c>
      <c r="H58" s="130">
        <v>-18179</v>
      </c>
      <c r="I58" s="130">
        <v>-116921</v>
      </c>
      <c r="J58" s="130">
        <v>-49493</v>
      </c>
      <c r="K58" s="130">
        <v>-29059</v>
      </c>
      <c r="L58" s="130">
        <v>-60348</v>
      </c>
      <c r="M58" s="130">
        <v>-31755</v>
      </c>
      <c r="N58" s="130">
        <v>-36052</v>
      </c>
    </row>
    <row r="59" spans="2:14">
      <c r="B59" t="s">
        <v>227</v>
      </c>
      <c r="C59" s="130">
        <v>-6149</v>
      </c>
      <c r="D59" s="130">
        <v>-9224</v>
      </c>
      <c r="E59" s="130">
        <v>-12920</v>
      </c>
      <c r="F59" s="130">
        <v>-17669</v>
      </c>
      <c r="G59" s="130">
        <v>-23338</v>
      </c>
      <c r="H59" s="130">
        <v>-28508</v>
      </c>
      <c r="I59" s="130">
        <v>-18340</v>
      </c>
      <c r="J59" s="130">
        <v>-26349</v>
      </c>
      <c r="K59" s="130">
        <v>-21650</v>
      </c>
      <c r="L59" s="130">
        <v>-37173</v>
      </c>
      <c r="M59" s="130">
        <v>-41024</v>
      </c>
      <c r="N59" s="130">
        <v>-39981</v>
      </c>
    </row>
    <row r="60" spans="2:14">
      <c r="B60" t="s">
        <v>228</v>
      </c>
      <c r="C60" s="130">
        <v>-3268</v>
      </c>
      <c r="D60" s="130">
        <v>-7259</v>
      </c>
      <c r="E60">
        <v>-53</v>
      </c>
      <c r="F60" s="130">
        <v>-3916</v>
      </c>
      <c r="G60" s="130">
        <v>-4282</v>
      </c>
      <c r="H60" s="130">
        <v>-4592</v>
      </c>
      <c r="I60" s="130">
        <v>-3921</v>
      </c>
      <c r="J60" s="130">
        <v>-4297</v>
      </c>
      <c r="K60" s="130">
        <v>-5083</v>
      </c>
      <c r="L60" s="130">
        <v>-6089</v>
      </c>
      <c r="M60" s="130">
        <v>-7180</v>
      </c>
      <c r="N60" s="130">
        <v>-7879</v>
      </c>
    </row>
    <row r="61" spans="2:14">
      <c r="B61" t="s">
        <v>229</v>
      </c>
      <c r="C61">
        <v>0</v>
      </c>
      <c r="D61">
        <v>0</v>
      </c>
      <c r="E61">
        <v>0</v>
      </c>
      <c r="F61">
        <v>0</v>
      </c>
      <c r="G61">
        <v>0</v>
      </c>
      <c r="H61" s="130">
        <v>-1062</v>
      </c>
      <c r="I61" s="130">
        <v>-1022</v>
      </c>
      <c r="J61" s="130">
        <v>-2132</v>
      </c>
      <c r="K61" s="130">
        <v>-1406</v>
      </c>
      <c r="L61" s="130">
        <v>-2483</v>
      </c>
      <c r="M61" s="130">
        <v>-2956</v>
      </c>
      <c r="N61" s="130">
        <v>-6508</v>
      </c>
    </row>
    <row r="62" spans="2:14">
      <c r="B62" t="s">
        <v>230</v>
      </c>
      <c r="C62">
        <v>17</v>
      </c>
      <c r="D62">
        <v>8</v>
      </c>
      <c r="E62">
        <v>4</v>
      </c>
      <c r="F62">
        <v>15</v>
      </c>
      <c r="G62">
        <v>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2:14">
      <c r="B63" t="s">
        <v>231</v>
      </c>
      <c r="C63">
        <v>-3</v>
      </c>
      <c r="D63">
        <v>-3</v>
      </c>
      <c r="E63" s="130">
        <v>7589</v>
      </c>
      <c r="F63" s="130">
        <v>2006</v>
      </c>
      <c r="G63" s="130">
        <v>-3162</v>
      </c>
      <c r="H63" s="130">
        <v>-4090</v>
      </c>
      <c r="I63" s="130">
        <v>195682</v>
      </c>
      <c r="J63" s="130">
        <v>39762</v>
      </c>
      <c r="K63">
        <v>40</v>
      </c>
      <c r="L63" s="130">
        <v>-1078</v>
      </c>
      <c r="M63">
        <v>0</v>
      </c>
      <c r="N63">
        <v>0</v>
      </c>
    </row>
    <row r="64" spans="2:14">
      <c r="B64" t="s">
        <v>50</v>
      </c>
      <c r="C64" s="130">
        <v>-21888</v>
      </c>
      <c r="D64" s="130">
        <v>-1262</v>
      </c>
      <c r="E64" s="130">
        <v>-8034</v>
      </c>
      <c r="F64" s="130">
        <v>1266</v>
      </c>
      <c r="G64" s="130">
        <v>3745</v>
      </c>
      <c r="H64" s="130">
        <v>19839</v>
      </c>
      <c r="I64" s="130">
        <v>-13523</v>
      </c>
      <c r="J64" s="130">
        <v>18781</v>
      </c>
      <c r="K64" s="130">
        <v>32486</v>
      </c>
      <c r="L64" s="130">
        <v>28561</v>
      </c>
      <c r="M64" s="130">
        <v>9277</v>
      </c>
      <c r="N64" s="130">
        <v>39475</v>
      </c>
    </row>
    <row r="65" spans="2:14">
      <c r="B65" t="s">
        <v>232</v>
      </c>
      <c r="C65" s="130">
        <v>-28588</v>
      </c>
      <c r="D65" s="130">
        <v>-8420</v>
      </c>
      <c r="E65" s="130">
        <v>-27077</v>
      </c>
      <c r="F65" s="130">
        <v>-1495</v>
      </c>
      <c r="G65" s="130">
        <v>-50431</v>
      </c>
      <c r="H65" s="130">
        <v>19324</v>
      </c>
      <c r="I65" s="130">
        <v>-76560</v>
      </c>
      <c r="J65" s="130">
        <v>13646</v>
      </c>
      <c r="K65" s="130">
        <v>-16770</v>
      </c>
      <c r="L65" s="130">
        <v>21212</v>
      </c>
      <c r="M65" s="130">
        <v>41079</v>
      </c>
      <c r="N65" s="130">
        <v>70023</v>
      </c>
    </row>
    <row r="66" spans="2:14">
      <c r="B66" t="s">
        <v>233</v>
      </c>
      <c r="C66" s="140">
        <v>1.0900000000000001</v>
      </c>
      <c r="D66" s="140">
        <v>1.1200000000000001</v>
      </c>
      <c r="E66" s="140">
        <v>1.29</v>
      </c>
      <c r="F66" s="140">
        <v>1.26</v>
      </c>
      <c r="G66" s="140">
        <v>0.65</v>
      </c>
      <c r="H66" s="140">
        <v>1.1599999999999999</v>
      </c>
      <c r="I66" s="140">
        <v>0.37</v>
      </c>
      <c r="J66" s="140">
        <v>1.05</v>
      </c>
      <c r="K66" s="140">
        <v>0.85</v>
      </c>
      <c r="L66" s="140">
        <v>1.05</v>
      </c>
      <c r="M66" s="140">
        <v>1.1499999999999999</v>
      </c>
      <c r="N66" s="140">
        <v>1.1299999999999999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0F59-1D6D-43D4-9926-7602918D19EB}">
  <dimension ref="B3:I39"/>
  <sheetViews>
    <sheetView showGridLines="0" tabSelected="1" workbookViewId="0">
      <selection activeCell="H16" sqref="H16"/>
    </sheetView>
  </sheetViews>
  <sheetFormatPr defaultRowHeight="14.4" outlineLevelRow="1"/>
  <cols>
    <col min="1" max="1" width="1.88671875" customWidth="1"/>
    <col min="2" max="2" width="31.77734375" bestFit="1" customWidth="1"/>
    <col min="3" max="4" width="9.6640625" bestFit="1" customWidth="1"/>
    <col min="5" max="9" width="12" bestFit="1" customWidth="1"/>
  </cols>
  <sheetData>
    <row r="3" spans="2:9">
      <c r="B3" s="131" t="s">
        <v>425</v>
      </c>
      <c r="C3" s="131"/>
      <c r="D3" s="244">
        <f>'intrinsic Growth'!L8</f>
        <v>46082</v>
      </c>
      <c r="E3" s="245">
        <f>D3+366</f>
        <v>46448</v>
      </c>
      <c r="F3" s="245">
        <f t="shared" ref="F3:I3" si="0">E3+365</f>
        <v>46813</v>
      </c>
      <c r="G3" s="245">
        <f t="shared" si="0"/>
        <v>47178</v>
      </c>
      <c r="H3" s="245">
        <f t="shared" si="0"/>
        <v>47543</v>
      </c>
      <c r="I3" s="245">
        <f t="shared" si="0"/>
        <v>47908</v>
      </c>
    </row>
    <row r="5" spans="2:9">
      <c r="B5" s="235" t="s">
        <v>163</v>
      </c>
      <c r="C5" s="235"/>
      <c r="D5" s="236">
        <f>HistoricalFS!L52+HistoricalFS!L49+HistoricalFS!L43</f>
        <v>150223</v>
      </c>
      <c r="E5" s="236">
        <f>D5*(1+$C$15)</f>
        <v>160738.61000000002</v>
      </c>
      <c r="F5" s="236">
        <f t="shared" ref="F5:I5" si="1">E5*(1+$C$15)</f>
        <v>171990.31270000004</v>
      </c>
      <c r="G5" s="236">
        <f t="shared" si="1"/>
        <v>184029.63458900005</v>
      </c>
      <c r="H5" s="236">
        <f t="shared" si="1"/>
        <v>196911.70901023006</v>
      </c>
      <c r="I5" s="236">
        <f t="shared" si="1"/>
        <v>210695.52864094617</v>
      </c>
    </row>
    <row r="6" spans="2:9">
      <c r="B6" s="235" t="s">
        <v>290</v>
      </c>
      <c r="C6" s="235"/>
      <c r="D6" s="237">
        <v>0.25</v>
      </c>
      <c r="E6" s="238">
        <f>D6</f>
        <v>0.25</v>
      </c>
      <c r="F6" s="238">
        <f t="shared" ref="F6:I6" si="2">E6</f>
        <v>0.25</v>
      </c>
      <c r="G6" s="238">
        <f t="shared" si="2"/>
        <v>0.25</v>
      </c>
      <c r="H6" s="238">
        <f t="shared" si="2"/>
        <v>0.25</v>
      </c>
      <c r="I6" s="238">
        <f t="shared" si="2"/>
        <v>0.25</v>
      </c>
    </row>
    <row r="7" spans="2:9">
      <c r="B7" s="235" t="s">
        <v>169</v>
      </c>
      <c r="C7" s="235"/>
      <c r="D7" s="236">
        <f>D5*(1-D6)</f>
        <v>112667.25</v>
      </c>
      <c r="E7" s="236">
        <f t="shared" ref="E7:I7" si="3">E5*(1-E6)</f>
        <v>120553.95750000002</v>
      </c>
      <c r="F7" s="236">
        <f>F5*(1-F6)</f>
        <v>128992.73452500004</v>
      </c>
      <c r="G7" s="236">
        <f t="shared" si="3"/>
        <v>138022.22594175005</v>
      </c>
      <c r="H7" s="236">
        <f t="shared" si="3"/>
        <v>147683.78175767255</v>
      </c>
      <c r="I7" s="236">
        <f t="shared" si="3"/>
        <v>158021.64648070963</v>
      </c>
    </row>
    <row r="8" spans="2:9">
      <c r="B8" s="235" t="s">
        <v>426</v>
      </c>
      <c r="C8" s="235"/>
      <c r="D8" s="239">
        <v>0.8</v>
      </c>
      <c r="E8" s="240">
        <f>D8</f>
        <v>0.8</v>
      </c>
      <c r="F8" s="240">
        <f t="shared" ref="F8:I8" si="4">E8</f>
        <v>0.8</v>
      </c>
      <c r="G8" s="240">
        <f t="shared" si="4"/>
        <v>0.8</v>
      </c>
      <c r="H8" s="240">
        <f t="shared" si="4"/>
        <v>0.8</v>
      </c>
      <c r="I8" s="240">
        <f t="shared" si="4"/>
        <v>0.8</v>
      </c>
    </row>
    <row r="9" spans="2:9">
      <c r="B9" s="235" t="s">
        <v>427</v>
      </c>
      <c r="C9" s="235"/>
      <c r="D9" s="236">
        <f>D7*(1-D8)</f>
        <v>22533.449999999993</v>
      </c>
      <c r="E9" s="236">
        <f t="shared" ref="E9:I9" si="5">E7*(1-E8)</f>
        <v>24110.791499999999</v>
      </c>
      <c r="F9" s="236">
        <f t="shared" si="5"/>
        <v>25798.546905000003</v>
      </c>
      <c r="G9" s="236">
        <f t="shared" si="5"/>
        <v>27604.445188350004</v>
      </c>
      <c r="H9" s="236">
        <f t="shared" si="5"/>
        <v>29536.756351534503</v>
      </c>
      <c r="I9" s="236">
        <f t="shared" si="5"/>
        <v>31604.329296141921</v>
      </c>
    </row>
    <row r="10" spans="2:9">
      <c r="B10" s="235" t="s">
        <v>428</v>
      </c>
      <c r="C10" s="235"/>
      <c r="D10" s="235"/>
      <c r="E10" s="241">
        <v>0.5</v>
      </c>
      <c r="F10" s="235">
        <f>E10+1</f>
        <v>1.5</v>
      </c>
      <c r="G10" s="235">
        <f t="shared" ref="G10:I10" si="6">F10+1</f>
        <v>2.5</v>
      </c>
      <c r="H10" s="235">
        <f t="shared" si="6"/>
        <v>3.5</v>
      </c>
      <c r="I10" s="235">
        <f t="shared" si="6"/>
        <v>4.5</v>
      </c>
    </row>
    <row r="11" spans="2:9">
      <c r="B11" s="235" t="s">
        <v>429</v>
      </c>
      <c r="C11" s="235"/>
      <c r="D11" s="235"/>
      <c r="E11" s="242">
        <f>1/(1+$C$17)^E10</f>
        <v>0.93838445779496804</v>
      </c>
      <c r="F11" s="242">
        <f t="shared" ref="F11:I11" si="7">1/(1+$C$17)^F10</f>
        <v>0.82630887664043151</v>
      </c>
      <c r="G11" s="242">
        <f t="shared" si="7"/>
        <v>0.72761899874087332</v>
      </c>
      <c r="H11" s="242">
        <f t="shared" si="7"/>
        <v>0.64071610785690791</v>
      </c>
      <c r="I11" s="242">
        <f t="shared" si="7"/>
        <v>0.564192429798692</v>
      </c>
    </row>
    <row r="12" spans="2:9" ht="15" thickBot="1">
      <c r="B12" s="185" t="s">
        <v>430</v>
      </c>
      <c r="C12" s="185"/>
      <c r="D12" s="185"/>
      <c r="E12" s="243">
        <f>E9*E11</f>
        <v>22625.192008735023</v>
      </c>
      <c r="F12" s="243">
        <f t="shared" ref="F12:I12" si="8">F9*F11</f>
        <v>21317.568312026033</v>
      </c>
      <c r="G12" s="243">
        <f t="shared" si="8"/>
        <v>20085.518768744547</v>
      </c>
      <c r="H12" s="243">
        <f t="shared" si="8"/>
        <v>18924.675568272989</v>
      </c>
      <c r="I12" s="243">
        <f t="shared" si="8"/>
        <v>17830.923337748296</v>
      </c>
    </row>
    <row r="15" spans="2:9" outlineLevel="1">
      <c r="B15" s="144" t="s">
        <v>431</v>
      </c>
      <c r="C15" s="232">
        <v>7.0000000000000007E-2</v>
      </c>
    </row>
    <row r="16" spans="2:9" outlineLevel="1">
      <c r="B16" s="144" t="s">
        <v>432</v>
      </c>
      <c r="C16" s="232">
        <v>5.8000000000000003E-2</v>
      </c>
      <c r="H16" t="s">
        <v>446</v>
      </c>
    </row>
    <row r="17" spans="2:3" outlineLevel="1">
      <c r="B17" s="144" t="s">
        <v>314</v>
      </c>
      <c r="C17" s="232">
        <f>WACC!J47</f>
        <v>0.13563400360674815</v>
      </c>
    </row>
    <row r="19" spans="2:3">
      <c r="B19" s="233" t="s">
        <v>433</v>
      </c>
      <c r="C19" s="131"/>
    </row>
    <row r="21" spans="2:3">
      <c r="B21" t="s">
        <v>434</v>
      </c>
      <c r="C21" s="234">
        <f>I9*(1+C15)</f>
        <v>33816.632346871855</v>
      </c>
    </row>
    <row r="22" spans="2:3">
      <c r="B22" t="s">
        <v>314</v>
      </c>
      <c r="C22" s="53">
        <f>C17</f>
        <v>0.13563400360674815</v>
      </c>
    </row>
    <row r="23" spans="2:3">
      <c r="B23" t="s">
        <v>432</v>
      </c>
      <c r="C23" s="53">
        <f>C16</f>
        <v>5.8000000000000003E-2</v>
      </c>
    </row>
    <row r="24" spans="2:3" ht="15" thickBot="1">
      <c r="B24" s="185" t="s">
        <v>435</v>
      </c>
      <c r="C24" s="243">
        <f>C21/(C22-C23)</f>
        <v>435590.47293462552</v>
      </c>
    </row>
    <row r="26" spans="2:3">
      <c r="B26" s="233" t="s">
        <v>436</v>
      </c>
      <c r="C26" s="131"/>
    </row>
    <row r="28" spans="2:3">
      <c r="B28" t="s">
        <v>430</v>
      </c>
      <c r="C28" s="234">
        <f>SUM(E12:I12)</f>
        <v>100783.87799552688</v>
      </c>
    </row>
    <row r="29" spans="2:3">
      <c r="B29" t="s">
        <v>437</v>
      </c>
      <c r="C29" s="234">
        <f>C24</f>
        <v>435590.47293462552</v>
      </c>
    </row>
    <row r="30" spans="2:3" ht="15" thickBot="1">
      <c r="B30" s="185" t="s">
        <v>438</v>
      </c>
      <c r="C30" s="243">
        <f>SUM(C28:C29)</f>
        <v>536374.35093015246</v>
      </c>
    </row>
    <row r="32" spans="2:3">
      <c r="B32" t="s">
        <v>439</v>
      </c>
      <c r="C32" s="234">
        <f>HistoricalFS!L82</f>
        <v>145977</v>
      </c>
    </row>
    <row r="33" spans="2:3">
      <c r="B33" t="s">
        <v>440</v>
      </c>
      <c r="C33" s="234">
        <f>SUM(RawFs!N6:N7)</f>
        <v>374421</v>
      </c>
    </row>
    <row r="34" spans="2:3">
      <c r="B34" s="101" t="s">
        <v>441</v>
      </c>
      <c r="C34" s="234">
        <f>(C30+C32)-C33</f>
        <v>307930.35093015246</v>
      </c>
    </row>
    <row r="35" spans="2:3">
      <c r="B35" t="s">
        <v>442</v>
      </c>
      <c r="C35" s="234">
        <f>'Data Sheet '!B7</f>
        <v>1353.8808287724785</v>
      </c>
    </row>
    <row r="36" spans="2:3" ht="15" thickBot="1">
      <c r="B36" s="185" t="s">
        <v>443</v>
      </c>
      <c r="C36" s="243">
        <f>C34/C35</f>
        <v>227.44272936440299</v>
      </c>
    </row>
    <row r="38" spans="2:3" outlineLevel="1">
      <c r="B38" s="246" t="s">
        <v>444</v>
      </c>
      <c r="C38" s="247">
        <v>1198</v>
      </c>
    </row>
    <row r="39" spans="2:3" outlineLevel="1">
      <c r="B39" s="144" t="s">
        <v>445</v>
      </c>
      <c r="C39" s="248">
        <f>C38/C36</f>
        <v>5.2672600410127624</v>
      </c>
    </row>
  </sheetData>
  <pageMargins left="0.7" right="0.7" top="0.75" bottom="0.75" header="0.3" footer="0.3"/>
  <pageSetup orientation="portrait" r:id="rId1"/>
  <ignoredErrors>
    <ignoredError sqref="D7:I7 D8:I8" formula="1"/>
    <ignoredError sqref="C3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C87C-11E2-47B0-87F2-95583C214726}">
  <dimension ref="B3:M101"/>
  <sheetViews>
    <sheetView showGridLines="0" topLeftCell="B1" workbookViewId="0">
      <pane ySplit="5" topLeftCell="A51" activePane="bottomLeft" state="frozen"/>
      <selection pane="bottomLeft" activeCell="A59" sqref="A59:XFD59"/>
    </sheetView>
  </sheetViews>
  <sheetFormatPr defaultRowHeight="14.4"/>
  <cols>
    <col min="1" max="1" width="1.88671875" style="200" customWidth="1"/>
    <col min="2" max="2" width="38.6640625" style="200" bestFit="1" customWidth="1"/>
    <col min="3" max="3" width="11.6640625" style="200" customWidth="1"/>
    <col min="4" max="4" width="17" style="200" customWidth="1"/>
    <col min="5" max="5" width="15" style="200" customWidth="1"/>
    <col min="6" max="6" width="17.5546875" style="200" customWidth="1"/>
    <col min="7" max="7" width="13.44140625" style="200" customWidth="1"/>
    <col min="8" max="8" width="13.33203125" style="200" customWidth="1"/>
    <col min="9" max="9" width="14.6640625" style="200" customWidth="1"/>
    <col min="10" max="10" width="15.44140625" style="200" customWidth="1"/>
    <col min="11" max="11" width="11.6640625" style="200" customWidth="1"/>
    <col min="12" max="12" width="16" style="200" customWidth="1"/>
    <col min="13" max="13" width="15" style="200" customWidth="1"/>
    <col min="14" max="16384" width="8.88671875" style="200"/>
  </cols>
  <sheetData>
    <row r="3" spans="2:13" ht="21">
      <c r="B3" s="231" t="s">
        <v>424</v>
      </c>
    </row>
    <row r="4" spans="2:13">
      <c r="B4" s="200" t="s">
        <v>423</v>
      </c>
    </row>
    <row r="5" spans="2:13" ht="42">
      <c r="B5" s="229" t="s">
        <v>422</v>
      </c>
      <c r="C5" s="229" t="s">
        <v>421</v>
      </c>
      <c r="D5" s="229" t="s">
        <v>420</v>
      </c>
      <c r="E5" s="229" t="s">
        <v>419</v>
      </c>
      <c r="F5" s="229" t="s">
        <v>418</v>
      </c>
      <c r="G5" s="229" t="s">
        <v>417</v>
      </c>
      <c r="H5" s="229" t="s">
        <v>416</v>
      </c>
      <c r="I5" s="229" t="s">
        <v>415</v>
      </c>
      <c r="J5" s="229" t="s">
        <v>414</v>
      </c>
      <c r="K5" s="229" t="s">
        <v>413</v>
      </c>
      <c r="L5" s="230" t="s">
        <v>171</v>
      </c>
      <c r="M5" s="229" t="s">
        <v>412</v>
      </c>
    </row>
    <row r="6" spans="2:13">
      <c r="B6" s="228" t="s">
        <v>411</v>
      </c>
      <c r="C6" s="227">
        <v>13</v>
      </c>
      <c r="D6" s="226">
        <v>12.254999999999999</v>
      </c>
      <c r="E6" s="226">
        <v>6.1719999999999988</v>
      </c>
      <c r="F6" s="225">
        <v>1.9855800388852887</v>
      </c>
      <c r="G6" s="226">
        <v>15.7</v>
      </c>
      <c r="H6" s="226">
        <v>1.9499999999999993</v>
      </c>
      <c r="I6" s="225">
        <v>0.11509866777887166</v>
      </c>
      <c r="J6" s="225">
        <v>0.92871967524177101</v>
      </c>
      <c r="K6" s="224">
        <v>4.3520758141792797</v>
      </c>
      <c r="L6" s="223">
        <f>1/K6</f>
        <v>0.22977540895357343</v>
      </c>
      <c r="M6" s="222">
        <f>VLOOKUP(B6,'[1]Industry Averages'!$A$9:$E$104,5,0)</f>
        <v>0.5859619601682664</v>
      </c>
    </row>
    <row r="7" spans="2:13">
      <c r="B7" s="228" t="s">
        <v>410</v>
      </c>
      <c r="C7" s="227">
        <v>13</v>
      </c>
      <c r="D7" s="226">
        <v>179.85599999999999</v>
      </c>
      <c r="E7" s="226">
        <v>230.04299999999998</v>
      </c>
      <c r="F7" s="225">
        <v>0.78183643927439661</v>
      </c>
      <c r="G7" s="226">
        <v>0</v>
      </c>
      <c r="H7" s="226">
        <v>130.91380000000004</v>
      </c>
      <c r="I7" s="225">
        <v>1.1286262733025205E-2</v>
      </c>
      <c r="J7" s="225">
        <v>8.590057130269689E-2</v>
      </c>
      <c r="K7" s="224">
        <v>2.3987361826292801</v>
      </c>
      <c r="L7" s="223">
        <f>1/K7</f>
        <v>0.41688619500619256</v>
      </c>
      <c r="M7" s="222">
        <f>VLOOKUP(B7,'[1]Industry Averages'!$A$9:$E$104,5,0)</f>
        <v>3.398413975620472E-2</v>
      </c>
    </row>
    <row r="8" spans="2:13">
      <c r="B8" s="228" t="s">
        <v>409</v>
      </c>
      <c r="C8" s="227">
        <v>6</v>
      </c>
      <c r="D8" s="226">
        <v>522.1389999999999</v>
      </c>
      <c r="E8" s="226">
        <v>907.27300000000002</v>
      </c>
      <c r="F8" s="225">
        <v>0.57550373481851647</v>
      </c>
      <c r="G8" s="226">
        <v>0</v>
      </c>
      <c r="H8" s="226">
        <v>0</v>
      </c>
      <c r="I8" s="225">
        <v>-5.2425788869725737E-2</v>
      </c>
      <c r="J8" s="225">
        <v>-30.163963317758547</v>
      </c>
      <c r="K8" s="224">
        <v>0.99250581619997469</v>
      </c>
      <c r="L8" s="223">
        <f>1/K8</f>
        <v>1.0075507706632072</v>
      </c>
      <c r="M8" s="222">
        <f>VLOOKUP(B8,'[1]Industry Averages'!$A$9:$E$104,5,0)</f>
        <v>-0.59810780376869188</v>
      </c>
    </row>
    <row r="9" spans="2:13">
      <c r="B9" s="228" t="s">
        <v>408</v>
      </c>
      <c r="C9" s="227">
        <v>323</v>
      </c>
      <c r="D9" s="226">
        <v>1319.1549999999995</v>
      </c>
      <c r="E9" s="226">
        <v>1037.4009999999992</v>
      </c>
      <c r="F9" s="225">
        <v>1.2715960366338577</v>
      </c>
      <c r="G9" s="226">
        <v>18.023</v>
      </c>
      <c r="H9" s="226">
        <v>19.954000000001088</v>
      </c>
      <c r="I9" s="225">
        <v>4.4862222418410296E-3</v>
      </c>
      <c r="J9" s="225">
        <v>0.1324811729154258</v>
      </c>
      <c r="K9" s="224">
        <v>2.8247623583292145</v>
      </c>
      <c r="L9" s="223">
        <f>1/K9</f>
        <v>0.35401208071587242</v>
      </c>
      <c r="M9" s="222">
        <f>VLOOKUP(B9,'[1]Industry Averages'!$A$9:$E$104,5,0)</f>
        <v>9.5153899651068408E-2</v>
      </c>
    </row>
    <row r="10" spans="2:13">
      <c r="B10" s="228" t="s">
        <v>407</v>
      </c>
      <c r="C10" s="227">
        <v>12</v>
      </c>
      <c r="D10" s="226">
        <v>2055.7350000000001</v>
      </c>
      <c r="E10" s="226">
        <v>4078.6380000000004</v>
      </c>
      <c r="F10" s="225">
        <v>0.50402487300907806</v>
      </c>
      <c r="G10" s="226">
        <v>103.39999999999999</v>
      </c>
      <c r="H10" s="226">
        <v>106.72619999999915</v>
      </c>
      <c r="I10" s="225">
        <v>-2.3678847600735676E-2</v>
      </c>
      <c r="J10" s="225">
        <v>-0.48880651837</v>
      </c>
      <c r="K10" s="224">
        <v>1.1695525313659343</v>
      </c>
      <c r="L10" s="223">
        <f>1/K10</f>
        <v>0.85502786166610933</v>
      </c>
      <c r="M10" s="222">
        <f>VLOOKUP(B10,'[1]Industry Averages'!$A$9:$E$104,5,0)</f>
        <v>-3.5019143033347938E-2</v>
      </c>
    </row>
    <row r="11" spans="2:13">
      <c r="B11" s="228" t="s">
        <v>406</v>
      </c>
      <c r="C11" s="227">
        <v>107</v>
      </c>
      <c r="D11" s="226">
        <v>1610.9509999999998</v>
      </c>
      <c r="E11" s="226">
        <v>1354.4360000000001</v>
      </c>
      <c r="F11" s="225">
        <v>1.1893887935642582</v>
      </c>
      <c r="G11" s="226">
        <v>188.833</v>
      </c>
      <c r="H11" s="226">
        <v>14.640199999999822</v>
      </c>
      <c r="I11" s="225">
        <v>1.2636963472964002E-2</v>
      </c>
      <c r="J11" s="225">
        <v>0.25411285871330636</v>
      </c>
      <c r="K11" s="224">
        <v>1.9351196747785298</v>
      </c>
      <c r="L11" s="223">
        <f>1/K11</f>
        <v>0.51676390511323178</v>
      </c>
      <c r="M11" s="222">
        <f>VLOOKUP(B11,'[1]Industry Averages'!$A$9:$E$104,5,0)</f>
        <v>5.9256669670706655E-2</v>
      </c>
    </row>
    <row r="12" spans="2:13">
      <c r="B12" s="228" t="s">
        <v>405</v>
      </c>
      <c r="C12" s="227">
        <v>32</v>
      </c>
      <c r="D12" s="226">
        <v>2515.3199999999997</v>
      </c>
      <c r="E12" s="226">
        <v>9.25</v>
      </c>
      <c r="F12" s="225" t="s">
        <v>318</v>
      </c>
      <c r="G12" s="226">
        <v>283.76100000000002</v>
      </c>
      <c r="H12" s="226">
        <v>0</v>
      </c>
      <c r="I12" s="225">
        <v>2.8561625183255935E-2</v>
      </c>
      <c r="J12" s="225">
        <v>95.33594666973957</v>
      </c>
      <c r="K12" s="224">
        <v>0.4374686930360836</v>
      </c>
      <c r="L12" s="223">
        <f>1/K12</f>
        <v>2.2858778603330072</v>
      </c>
      <c r="M12" s="222">
        <f>VLOOKUP(B12,'[1]Industry Averages'!$A$9:$E$104,5,0)</f>
        <v>1.176175134580692E-2</v>
      </c>
    </row>
    <row r="13" spans="2:13">
      <c r="B13" s="228" t="s">
        <v>404</v>
      </c>
      <c r="C13" s="227">
        <v>5</v>
      </c>
      <c r="D13" s="226">
        <v>90.31</v>
      </c>
      <c r="E13" s="226">
        <v>0</v>
      </c>
      <c r="F13" s="225" t="s">
        <v>318</v>
      </c>
      <c r="G13" s="226">
        <v>0</v>
      </c>
      <c r="H13" s="226">
        <v>0</v>
      </c>
      <c r="I13" s="225">
        <v>4.0481420054686447E-2</v>
      </c>
      <c r="J13" s="225">
        <v>14.611621092579158</v>
      </c>
      <c r="K13" s="224">
        <v>0.52508707334008453</v>
      </c>
      <c r="L13" s="223">
        <f>1/K13</f>
        <v>1.9044460448035585</v>
      </c>
      <c r="M13" s="222">
        <f>VLOOKUP(B13,'[1]Industry Averages'!$A$9:$E$104,5,0)</f>
        <v>2.1963454228465167E-2</v>
      </c>
    </row>
    <row r="14" spans="2:13">
      <c r="B14" s="228" t="s">
        <v>403</v>
      </c>
      <c r="C14" s="227">
        <v>19</v>
      </c>
      <c r="D14" s="226">
        <v>132.85499999999999</v>
      </c>
      <c r="E14" s="226">
        <v>94.073999999999998</v>
      </c>
      <c r="F14" s="225">
        <v>1.4122393009758274</v>
      </c>
      <c r="G14" s="226">
        <v>31.029999999999998</v>
      </c>
      <c r="H14" s="226">
        <v>1.3230000000000359</v>
      </c>
      <c r="I14" s="225">
        <v>1.9774489535232507E-2</v>
      </c>
      <c r="J14" s="225">
        <v>0.23780071124215976</v>
      </c>
      <c r="K14" s="224">
        <v>1.8773559185600828</v>
      </c>
      <c r="L14" s="223">
        <f>1/K14</f>
        <v>0.5326640463397011</v>
      </c>
      <c r="M14" s="222">
        <f>VLOOKUP(B14,'[1]Industry Averages'!$A$9:$E$104,5,0)</f>
        <v>4.3070540726236804E-2</v>
      </c>
    </row>
    <row r="15" spans="2:13">
      <c r="B15" s="228" t="s">
        <v>402</v>
      </c>
      <c r="C15" s="227">
        <v>5</v>
      </c>
      <c r="D15" s="226">
        <v>1.59</v>
      </c>
      <c r="E15" s="226">
        <v>70.091000000000008</v>
      </c>
      <c r="F15" s="225">
        <v>2.2684795480161501E-2</v>
      </c>
      <c r="G15" s="226">
        <v>0</v>
      </c>
      <c r="H15" s="226">
        <v>0</v>
      </c>
      <c r="I15" s="225">
        <v>-4.3484802124820511E-2</v>
      </c>
      <c r="J15" s="225">
        <v>-0.34007573967155907</v>
      </c>
      <c r="K15" s="224">
        <v>2.0035510469356326</v>
      </c>
      <c r="L15" s="223">
        <f>1/K15</f>
        <v>0.49911381171419023</v>
      </c>
      <c r="M15" s="222">
        <f>VLOOKUP(B15,'[1]Industry Averages'!$A$9:$E$104,5,0)</f>
        <v>-0.10415246868424263</v>
      </c>
    </row>
    <row r="16" spans="2:13">
      <c r="B16" s="228" t="s">
        <v>401</v>
      </c>
      <c r="C16" s="227">
        <v>17</v>
      </c>
      <c r="D16" s="226">
        <v>182.505</v>
      </c>
      <c r="E16" s="226">
        <v>165.614</v>
      </c>
      <c r="F16" s="225">
        <v>1.1019901699131716</v>
      </c>
      <c r="G16" s="226">
        <v>4.95</v>
      </c>
      <c r="H16" s="226">
        <v>4.0799999999990177E-2</v>
      </c>
      <c r="I16" s="225">
        <v>6.484380093286779E-3</v>
      </c>
      <c r="J16" s="225">
        <v>4.8500550382375579E-2</v>
      </c>
      <c r="K16" s="224">
        <v>1.0879530894503171</v>
      </c>
      <c r="L16" s="223">
        <f>1/K16</f>
        <v>0.91915727773266864</v>
      </c>
      <c r="M16" s="222">
        <f>VLOOKUP(B16,'[1]Industry Averages'!$A$9:$E$104,5,0)</f>
        <v>0.17417747786795842</v>
      </c>
    </row>
    <row r="17" spans="2:13">
      <c r="B17" s="228" t="s">
        <v>400</v>
      </c>
      <c r="C17" s="227">
        <v>174</v>
      </c>
      <c r="D17" s="226">
        <v>98.346000000000089</v>
      </c>
      <c r="E17" s="226">
        <v>60.774000000000022</v>
      </c>
      <c r="F17" s="225">
        <v>1.6182248988054111</v>
      </c>
      <c r="G17" s="226">
        <v>1.6089999999999998</v>
      </c>
      <c r="H17" s="226">
        <v>0.97879999999999967</v>
      </c>
      <c r="I17" s="225">
        <v>5.718692742478557E-3</v>
      </c>
      <c r="J17" s="225">
        <v>2.6058980419272868</v>
      </c>
      <c r="K17" s="224">
        <v>0.7957445803487172</v>
      </c>
      <c r="L17" s="223">
        <f>1/K17</f>
        <v>1.2566846506975549</v>
      </c>
      <c r="M17" s="222">
        <f>VLOOKUP(B17,'[1]Industry Averages'!$A$9:$E$104,5,0)</f>
        <v>1.1229890259896977E-2</v>
      </c>
    </row>
    <row r="18" spans="2:13">
      <c r="B18" s="228" t="s">
        <v>399</v>
      </c>
      <c r="C18" s="227">
        <v>48</v>
      </c>
      <c r="D18" s="226">
        <v>294.06299999999999</v>
      </c>
      <c r="E18" s="226">
        <v>132.08999999999997</v>
      </c>
      <c r="F18" s="225">
        <v>2.2262321144674089</v>
      </c>
      <c r="G18" s="226">
        <v>-2.7E-2</v>
      </c>
      <c r="H18" s="226">
        <v>0.48220000000009122</v>
      </c>
      <c r="I18" s="225">
        <v>3.0565548896952174E-2</v>
      </c>
      <c r="J18" s="225">
        <v>0.5501661862388435</v>
      </c>
      <c r="K18" s="224">
        <v>2.0105271975176731</v>
      </c>
      <c r="L18" s="223">
        <f>1/K18</f>
        <v>0.497381980823072</v>
      </c>
      <c r="M18" s="222">
        <f>VLOOKUP(B18,'[1]Industry Averages'!$A$9:$E$104,5,0)</f>
        <v>0.1715718544183254</v>
      </c>
    </row>
    <row r="19" spans="2:13">
      <c r="B19" s="228" t="s">
        <v>398</v>
      </c>
      <c r="C19" s="227">
        <v>58</v>
      </c>
      <c r="D19" s="226">
        <v>141.79699999999997</v>
      </c>
      <c r="E19" s="226">
        <v>125.52300000000002</v>
      </c>
      <c r="F19" s="225">
        <v>1.1296495462982874</v>
      </c>
      <c r="G19" s="226">
        <v>-26.311</v>
      </c>
      <c r="H19" s="226">
        <v>7.9599999999913962E-2</v>
      </c>
      <c r="I19" s="225">
        <v>-1.5559103624124143E-3</v>
      </c>
      <c r="J19" s="225">
        <v>-2.2128621978277325E-2</v>
      </c>
      <c r="K19" s="224">
        <v>4.0759056231095938</v>
      </c>
      <c r="L19" s="223">
        <f>1/K19</f>
        <v>0.24534424799489812</v>
      </c>
      <c r="M19" s="222">
        <f>VLOOKUP(B19,'[1]Industry Averages'!$A$9:$E$104,5,0)</f>
        <v>0.13481714734660222</v>
      </c>
    </row>
    <row r="20" spans="2:13">
      <c r="B20" s="228" t="s">
        <v>397</v>
      </c>
      <c r="C20" s="227">
        <v>8</v>
      </c>
      <c r="D20" s="226">
        <v>207.31</v>
      </c>
      <c r="E20" s="226">
        <v>272.43100000000004</v>
      </c>
      <c r="F20" s="225">
        <v>0.76096332649368081</v>
      </c>
      <c r="G20" s="226">
        <v>-0.42799999999999999</v>
      </c>
      <c r="H20" s="226">
        <v>0</v>
      </c>
      <c r="I20" s="225">
        <v>-5.0339982459454806E-2</v>
      </c>
      <c r="J20" s="225">
        <v>-0.91369890717302304</v>
      </c>
      <c r="K20" s="224">
        <v>0.98018147410448508</v>
      </c>
      <c r="L20" s="223">
        <f>1/K20</f>
        <v>1.0202192414558964</v>
      </c>
      <c r="M20" s="222">
        <f>VLOOKUP(B20,'[1]Industry Averages'!$A$9:$E$104,5,0)</f>
        <v>-3.5265425948056281E-3</v>
      </c>
    </row>
    <row r="21" spans="2:13">
      <c r="B21" s="228" t="s">
        <v>396</v>
      </c>
      <c r="C21" s="227">
        <v>128</v>
      </c>
      <c r="D21" s="226">
        <v>1638.4330000000004</v>
      </c>
      <c r="E21" s="226">
        <v>741.08699999999999</v>
      </c>
      <c r="F21" s="225">
        <v>2.2108510876590746</v>
      </c>
      <c r="G21" s="226">
        <v>29.027999999999999</v>
      </c>
      <c r="H21" s="226">
        <v>4.4913999999994303</v>
      </c>
      <c r="I21" s="225">
        <v>3.651505614599599E-2</v>
      </c>
      <c r="J21" s="225">
        <v>0.36157794125719617</v>
      </c>
      <c r="K21" s="224">
        <v>1.4829760826656215</v>
      </c>
      <c r="L21" s="223">
        <f>1/K21</f>
        <v>0.67431970865134849</v>
      </c>
      <c r="M21" s="222">
        <f>VLOOKUP(B21,'[1]Industry Averages'!$A$9:$E$104,5,0)</f>
        <v>0.11908758671978847</v>
      </c>
    </row>
    <row r="22" spans="2:13">
      <c r="B22" s="228" t="s">
        <v>395</v>
      </c>
      <c r="C22" s="227">
        <v>10</v>
      </c>
      <c r="D22" s="226">
        <v>678.43</v>
      </c>
      <c r="E22" s="226">
        <v>188.09999999999994</v>
      </c>
      <c r="F22" s="225">
        <v>3.6067517278043604</v>
      </c>
      <c r="G22" s="226">
        <v>33.42</v>
      </c>
      <c r="H22" s="226">
        <v>1.6743999999996504</v>
      </c>
      <c r="I22" s="225">
        <v>6.8788133485199535E-2</v>
      </c>
      <c r="J22" s="225">
        <v>0.69803448886853148</v>
      </c>
      <c r="K22" s="224">
        <v>1.9394418222297922</v>
      </c>
      <c r="L22" s="223">
        <f>1/K22</f>
        <v>0.51561226974588581</v>
      </c>
      <c r="M22" s="222">
        <f>VLOOKUP(B22,'[1]Industry Averages'!$A$9:$E$104,5,0)</f>
        <v>0.221375215652759</v>
      </c>
    </row>
    <row r="23" spans="2:13">
      <c r="B23" s="228" t="s">
        <v>394</v>
      </c>
      <c r="C23" s="227">
        <v>167</v>
      </c>
      <c r="D23" s="226">
        <v>2136.2280000000005</v>
      </c>
      <c r="E23" s="226">
        <v>1159.7210000000005</v>
      </c>
      <c r="F23" s="225">
        <v>1.8420188993732109</v>
      </c>
      <c r="G23" s="226">
        <v>149.75400000000002</v>
      </c>
      <c r="H23" s="226">
        <v>-8.0283999999992375</v>
      </c>
      <c r="I23" s="225">
        <v>2.2489217526960082E-2</v>
      </c>
      <c r="J23" s="225">
        <v>0.23451832048916638</v>
      </c>
      <c r="K23" s="224">
        <v>2.0349819285044326</v>
      </c>
      <c r="L23" s="223">
        <f>1/K23</f>
        <v>0.49140485524356919</v>
      </c>
      <c r="M23" s="222">
        <f>VLOOKUP(B23,'[1]Industry Averages'!$A$9:$E$104,5,0)</f>
        <v>0.20753919314975397</v>
      </c>
    </row>
    <row r="24" spans="2:13">
      <c r="B24" s="228" t="s">
        <v>393</v>
      </c>
      <c r="C24" s="227">
        <v>2</v>
      </c>
      <c r="D24" s="226">
        <v>1808.8</v>
      </c>
      <c r="E24" s="226">
        <v>550.29999999999995</v>
      </c>
      <c r="F24" s="225">
        <v>3.2869343994184992</v>
      </c>
      <c r="G24" s="226">
        <v>0</v>
      </c>
      <c r="H24" s="226">
        <v>0.78600000000005821</v>
      </c>
      <c r="I24" s="225">
        <v>8.2890844583698109E-2</v>
      </c>
      <c r="J24" s="225">
        <v>0.43299617791782347</v>
      </c>
      <c r="K24" s="224">
        <v>4.0386197113756372</v>
      </c>
      <c r="L24" s="223">
        <f>1/K24</f>
        <v>0.24760934959617165</v>
      </c>
      <c r="M24" s="222">
        <f>VLOOKUP(B24,'[1]Industry Averages'!$A$9:$E$104,5,0)</f>
        <v>0.29707528166542035</v>
      </c>
    </row>
    <row r="25" spans="2:13">
      <c r="B25" s="228" t="s">
        <v>392</v>
      </c>
      <c r="C25" s="227">
        <v>132</v>
      </c>
      <c r="D25" s="226">
        <v>1553.5179999999993</v>
      </c>
      <c r="E25" s="226">
        <v>2311.905999999999</v>
      </c>
      <c r="F25" s="225">
        <v>0.67196417155368771</v>
      </c>
      <c r="G25" s="226">
        <v>1856.9579999999999</v>
      </c>
      <c r="H25" s="226">
        <v>-15.583800000000338</v>
      </c>
      <c r="I25" s="225">
        <v>1.1830690502188625E-2</v>
      </c>
      <c r="J25" s="225">
        <v>8.9775143517130118E-2</v>
      </c>
      <c r="K25" s="224">
        <v>2.3636028584024564</v>
      </c>
      <c r="L25" s="223">
        <f>1/K25</f>
        <v>0.42308292040055046</v>
      </c>
      <c r="M25" s="222">
        <f>VLOOKUP(B25,'[1]Industry Averages'!$A$9:$E$104,5,0)</f>
        <v>0.13864803973032297</v>
      </c>
    </row>
    <row r="26" spans="2:13">
      <c r="B26" s="228" t="s">
        <v>391</v>
      </c>
      <c r="C26" s="227">
        <v>6</v>
      </c>
      <c r="D26" s="226">
        <v>1.4159999999999999</v>
      </c>
      <c r="E26" s="226">
        <v>1.145</v>
      </c>
      <c r="F26" s="225">
        <v>1.2366812227074235</v>
      </c>
      <c r="G26" s="226">
        <v>0</v>
      </c>
      <c r="H26" s="226">
        <v>0</v>
      </c>
      <c r="I26" s="225">
        <v>4.5590659802833E-3</v>
      </c>
      <c r="J26" s="225">
        <v>0.1367178137238407</v>
      </c>
      <c r="K26" s="224">
        <v>1.8150229007633587</v>
      </c>
      <c r="L26" s="223">
        <f>1/K26</f>
        <v>0.55095723562464249</v>
      </c>
      <c r="M26" s="222">
        <f>VLOOKUP(B26,'[1]Industry Averages'!$A$9:$E$104,5,0)</f>
        <v>8.0008171038542325E-2</v>
      </c>
    </row>
    <row r="27" spans="2:13">
      <c r="B27" s="228" t="s">
        <v>390</v>
      </c>
      <c r="C27" s="227">
        <v>92</v>
      </c>
      <c r="D27" s="226">
        <v>4110.0010000000002</v>
      </c>
      <c r="E27" s="226">
        <v>2184.752</v>
      </c>
      <c r="F27" s="225">
        <v>1.8812208433726119</v>
      </c>
      <c r="G27" s="226">
        <v>89.38900000000001</v>
      </c>
      <c r="H27" s="226">
        <v>18.402200000002267</v>
      </c>
      <c r="I27" s="225">
        <v>4.1099200956765662E-2</v>
      </c>
      <c r="J27" s="225">
        <v>0.48172167480265604</v>
      </c>
      <c r="K27" s="224">
        <v>0.95495638161746377</v>
      </c>
      <c r="L27" s="223">
        <f>1/K27</f>
        <v>1.0471682468954691</v>
      </c>
      <c r="M27" s="222">
        <f>VLOOKUP(B27,'[1]Industry Averages'!$A$9:$E$104,5,0)</f>
        <v>5.3265356814775004E-2</v>
      </c>
    </row>
    <row r="28" spans="2:13">
      <c r="B28" s="228" t="s">
        <v>389</v>
      </c>
      <c r="C28" s="227">
        <v>13</v>
      </c>
      <c r="D28" s="226">
        <v>164.44300000000001</v>
      </c>
      <c r="E28" s="226">
        <v>222.017</v>
      </c>
      <c r="F28" s="225">
        <v>0.74067751568573581</v>
      </c>
      <c r="G28" s="226">
        <v>9.2309999999999999</v>
      </c>
      <c r="H28" s="226">
        <v>-2.2498000000001639</v>
      </c>
      <c r="I28" s="225">
        <v>-6.2112043729173278E-3</v>
      </c>
      <c r="J28" s="225">
        <v>-8.6913482771074024E-2</v>
      </c>
      <c r="K28" s="224">
        <v>0.60656203573712342</v>
      </c>
      <c r="L28" s="223">
        <f>1/K28</f>
        <v>1.6486359862347002</v>
      </c>
      <c r="M28" s="222">
        <f>VLOOKUP(B28,'[1]Industry Averages'!$A$9:$E$104,5,0)</f>
        <v>2.1566234409499157E-2</v>
      </c>
    </row>
    <row r="29" spans="2:13">
      <c r="B29" s="228" t="s">
        <v>388</v>
      </c>
      <c r="C29" s="227">
        <v>8</v>
      </c>
      <c r="D29" s="226">
        <v>228.45800000000003</v>
      </c>
      <c r="E29" s="226">
        <v>115.92200000000001</v>
      </c>
      <c r="F29" s="225">
        <v>1.9707907040941324</v>
      </c>
      <c r="G29" s="226">
        <v>1.2E-2</v>
      </c>
      <c r="H29" s="226">
        <v>-106.18860000000001</v>
      </c>
      <c r="I29" s="225">
        <v>5.2157139025832567E-3</v>
      </c>
      <c r="J29" s="225">
        <v>6.7797118914613846E-2</v>
      </c>
      <c r="K29" s="224">
        <v>0.8111705878752562</v>
      </c>
      <c r="L29" s="223">
        <f>1/K29</f>
        <v>1.2327863151687428</v>
      </c>
      <c r="M29" s="222">
        <f>VLOOKUP(B29,'[1]Industry Averages'!$A$9:$E$104,5,0)</f>
        <v>5.5785785478105164E-3</v>
      </c>
    </row>
    <row r="30" spans="2:13">
      <c r="B30" s="228" t="s">
        <v>387</v>
      </c>
      <c r="C30" s="227">
        <v>156</v>
      </c>
      <c r="D30" s="226">
        <v>2186.7790000000009</v>
      </c>
      <c r="E30" s="226">
        <v>1565.3380000000004</v>
      </c>
      <c r="F30" s="225">
        <v>1.3970011588551485</v>
      </c>
      <c r="G30" s="226">
        <v>407.00899999999996</v>
      </c>
      <c r="H30" s="226">
        <v>93.16939999999704</v>
      </c>
      <c r="I30" s="225">
        <v>3.1780616216509919E-2</v>
      </c>
      <c r="J30" s="225">
        <v>0.29197518924808835</v>
      </c>
      <c r="K30" s="224">
        <v>0.92891089839558916</v>
      </c>
      <c r="L30" s="223">
        <f>1/K30</f>
        <v>1.0765295161540205</v>
      </c>
      <c r="M30" s="222">
        <f>VLOOKUP(B30,'[1]Industry Averages'!$A$9:$E$104,5,0)</f>
        <v>5.4942200303473188E-2</v>
      </c>
    </row>
    <row r="31" spans="2:13">
      <c r="B31" s="228" t="s">
        <v>386</v>
      </c>
      <c r="C31" s="227">
        <v>26</v>
      </c>
      <c r="D31" s="226">
        <v>9.1889999999999983</v>
      </c>
      <c r="E31" s="226">
        <v>17.787000000000006</v>
      </c>
      <c r="F31" s="225">
        <v>0.51661325687299686</v>
      </c>
      <c r="G31" s="226">
        <v>4.2090000000000005</v>
      </c>
      <c r="H31" s="226">
        <v>0.30079999999999896</v>
      </c>
      <c r="I31" s="225">
        <v>-2.5667072665402673E-2</v>
      </c>
      <c r="J31" s="225" t="s">
        <v>318</v>
      </c>
      <c r="K31" s="224">
        <v>0.46552026137843255</v>
      </c>
      <c r="L31" s="223">
        <f>1/K31</f>
        <v>2.1481342123303975</v>
      </c>
      <c r="M31" s="222" t="str">
        <f>VLOOKUP(B31,'[1]Industry Averages'!$A$9:$E$104,5,0)</f>
        <v>NA</v>
      </c>
    </row>
    <row r="32" spans="2:13">
      <c r="B32" s="228" t="s">
        <v>385</v>
      </c>
      <c r="C32" s="227">
        <v>102</v>
      </c>
      <c r="D32" s="226">
        <v>563.66300000000012</v>
      </c>
      <c r="E32" s="226">
        <v>356.55100000000033</v>
      </c>
      <c r="F32" s="225">
        <v>1.5808762280851816</v>
      </c>
      <c r="G32" s="226">
        <v>1.613</v>
      </c>
      <c r="H32" s="226">
        <v>32.251199999999926</v>
      </c>
      <c r="I32" s="225">
        <v>1.3219963238289219E-2</v>
      </c>
      <c r="J32" s="225">
        <v>0.28987966912953128</v>
      </c>
      <c r="K32" s="224">
        <v>1.5318773983427414</v>
      </c>
      <c r="L32" s="223">
        <f>1/K32</f>
        <v>0.65279375561115272</v>
      </c>
      <c r="M32" s="222">
        <f>VLOOKUP(B32,'[1]Industry Averages'!$A$9:$E$104,5,0)</f>
        <v>5.4779301194835844E-2</v>
      </c>
    </row>
    <row r="33" spans="2:13">
      <c r="B33" s="228" t="s">
        <v>384</v>
      </c>
      <c r="C33" s="227">
        <v>8</v>
      </c>
      <c r="D33" s="226">
        <v>57.395999999999994</v>
      </c>
      <c r="E33" s="226">
        <v>14.183000000000003</v>
      </c>
      <c r="F33" s="225">
        <v>4.046816611436225</v>
      </c>
      <c r="G33" s="226">
        <v>0</v>
      </c>
      <c r="H33" s="226">
        <v>0.41819999999999879</v>
      </c>
      <c r="I33" s="225">
        <v>2.4886209893978418E-2</v>
      </c>
      <c r="J33" s="225">
        <v>1.2335301560243535</v>
      </c>
      <c r="K33" s="224">
        <v>8.0284903363834275</v>
      </c>
      <c r="L33" s="223">
        <f>1/K33</f>
        <v>0.12455641821828078</v>
      </c>
      <c r="M33" s="222">
        <f>VLOOKUP(B33,'[1]Industry Averages'!$A$9:$E$104,5,0)</f>
        <v>0.32618520356113251</v>
      </c>
    </row>
    <row r="34" spans="2:13">
      <c r="B34" s="228" t="s">
        <v>383</v>
      </c>
      <c r="C34" s="227">
        <v>27</v>
      </c>
      <c r="D34" s="226">
        <v>56.801000000000009</v>
      </c>
      <c r="E34" s="226">
        <v>29.396999999999991</v>
      </c>
      <c r="F34" s="225">
        <v>1.9322039663911292</v>
      </c>
      <c r="G34" s="226">
        <v>38.200000000000003</v>
      </c>
      <c r="H34" s="226">
        <v>1.4602000000000146</v>
      </c>
      <c r="I34" s="225">
        <v>4.8774070052516501E-2</v>
      </c>
      <c r="J34" s="225">
        <v>0.76100466033512837</v>
      </c>
      <c r="K34" s="224">
        <v>2.4268056179172435</v>
      </c>
      <c r="L34" s="223">
        <f>1/K34</f>
        <v>0.41206431723123738</v>
      </c>
      <c r="M34" s="222">
        <f>VLOOKUP(B34,'[1]Industry Averages'!$A$9:$E$104,5,0)</f>
        <v>0.27119359131932486</v>
      </c>
    </row>
    <row r="35" spans="2:13">
      <c r="B35" s="228" t="s">
        <v>382</v>
      </c>
      <c r="C35" s="227">
        <v>144</v>
      </c>
      <c r="D35" s="226">
        <v>1658.8349999999991</v>
      </c>
      <c r="E35" s="226">
        <v>1125.7489999999993</v>
      </c>
      <c r="F35" s="225">
        <v>1.4735389505120591</v>
      </c>
      <c r="G35" s="226">
        <v>31.045000000000005</v>
      </c>
      <c r="H35" s="226">
        <v>41.382199999999102</v>
      </c>
      <c r="I35" s="225">
        <v>1.2229110161280348E-2</v>
      </c>
      <c r="J35" s="225">
        <v>0.18999347335267988</v>
      </c>
      <c r="K35" s="224">
        <v>0.97947460971731182</v>
      </c>
      <c r="L35" s="223">
        <f>1/K35</f>
        <v>1.0209555103103816</v>
      </c>
      <c r="M35" s="222">
        <f>VLOOKUP(B35,'[1]Industry Averages'!$A$9:$E$104,5,0)</f>
        <v>4.8665675034765175E-2</v>
      </c>
    </row>
    <row r="36" spans="2:13">
      <c r="B36" s="228" t="s">
        <v>381</v>
      </c>
      <c r="C36" s="227">
        <v>60</v>
      </c>
      <c r="D36" s="226">
        <v>108.20100000000001</v>
      </c>
      <c r="E36" s="226">
        <v>238.99400000000006</v>
      </c>
      <c r="F36" s="225">
        <v>0.4527352151100027</v>
      </c>
      <c r="G36" s="226">
        <v>14.456000000000001</v>
      </c>
      <c r="H36" s="226">
        <v>0.22699999999997544</v>
      </c>
      <c r="I36" s="225">
        <v>-6.3295762547399617E-2</v>
      </c>
      <c r="J36" s="225">
        <v>-0.90136253583662951</v>
      </c>
      <c r="K36" s="224">
        <v>0.67995090932629787</v>
      </c>
      <c r="L36" s="223">
        <f>1/K36</f>
        <v>1.4706944079107269</v>
      </c>
      <c r="M36" s="222">
        <f>VLOOKUP(B36,'[1]Industry Averages'!$A$9:$E$104,5,0)</f>
        <v>6.6039226657281618E-3</v>
      </c>
    </row>
    <row r="37" spans="2:13">
      <c r="B37" s="228" t="s">
        <v>380</v>
      </c>
      <c r="C37" s="227">
        <v>10</v>
      </c>
      <c r="D37" s="226">
        <v>37.591000000000001</v>
      </c>
      <c r="E37" s="226">
        <v>8.3019999999999996</v>
      </c>
      <c r="F37" s="225">
        <v>4.5279450734762712</v>
      </c>
      <c r="G37" s="226">
        <v>0</v>
      </c>
      <c r="H37" s="226">
        <v>0.12040000000000362</v>
      </c>
      <c r="I37" s="225">
        <v>4.7153118486451824E-2</v>
      </c>
      <c r="J37" s="225">
        <v>0.31870481467573086</v>
      </c>
      <c r="K37" s="224">
        <v>5.2712447135424583</v>
      </c>
      <c r="L37" s="223">
        <f>1/K37</f>
        <v>0.18970851370851374</v>
      </c>
      <c r="M37" s="222">
        <f>VLOOKUP(B37,'[1]Industry Averages'!$A$9:$E$104,5,0)</f>
        <v>0.84345976944175927</v>
      </c>
    </row>
    <row r="38" spans="2:13">
      <c r="B38" s="228" t="s">
        <v>379</v>
      </c>
      <c r="C38" s="227">
        <v>57</v>
      </c>
      <c r="D38" s="226">
        <v>161.96200000000005</v>
      </c>
      <c r="E38" s="226">
        <v>119.33699999999997</v>
      </c>
      <c r="F38" s="225">
        <v>1.3571817625715417</v>
      </c>
      <c r="G38" s="226">
        <v>-3.7859999999999996</v>
      </c>
      <c r="H38" s="226">
        <v>2.4352000000000658</v>
      </c>
      <c r="I38" s="225">
        <v>7.7462767885144116E-3</v>
      </c>
      <c r="J38" s="225">
        <v>0.13946671212312556</v>
      </c>
      <c r="K38" s="224">
        <v>1.499299489143417</v>
      </c>
      <c r="L38" s="223">
        <f>1/K38</f>
        <v>0.66697815029025465</v>
      </c>
      <c r="M38" s="222">
        <f>VLOOKUP(B38,'[1]Industry Averages'!$A$9:$E$104,5,0)</f>
        <v>4.1177374405029624E-2</v>
      </c>
    </row>
    <row r="39" spans="2:13">
      <c r="B39" s="228" t="s">
        <v>378</v>
      </c>
      <c r="C39" s="227">
        <v>254</v>
      </c>
      <c r="D39" s="226">
        <v>906.47899999999925</v>
      </c>
      <c r="E39" s="226">
        <v>620.97899999999879</v>
      </c>
      <c r="F39" s="225">
        <v>1.4597578984152459</v>
      </c>
      <c r="G39" s="226">
        <v>287.91599999999994</v>
      </c>
      <c r="H39" s="226">
        <v>0.36240000000043437</v>
      </c>
      <c r="I39" s="225">
        <v>1.1353578117487301E-2</v>
      </c>
      <c r="J39" s="225">
        <v>0.19426990353303017</v>
      </c>
      <c r="K39" s="224">
        <v>0.10361553672669978</v>
      </c>
      <c r="L39" s="223">
        <f>1/K39</f>
        <v>9.6510622980956757</v>
      </c>
      <c r="M39" s="222">
        <f>VLOOKUP(B39,'[1]Industry Averages'!$A$9:$E$104,5,0)</f>
        <v>1.6319973349452094E-3</v>
      </c>
    </row>
    <row r="40" spans="2:13">
      <c r="B40" s="228" t="s">
        <v>377</v>
      </c>
      <c r="C40" s="227">
        <v>185</v>
      </c>
      <c r="D40" s="226">
        <v>1139.2389999999998</v>
      </c>
      <c r="E40" s="226">
        <v>609.47200000000021</v>
      </c>
      <c r="F40" s="225">
        <v>1.8692228683188061</v>
      </c>
      <c r="G40" s="226">
        <v>99.592999999999989</v>
      </c>
      <c r="H40" s="226">
        <v>3.0955999999996493</v>
      </c>
      <c r="I40" s="225">
        <v>1.654482844947593E-2</v>
      </c>
      <c r="J40" s="225">
        <v>0.34667722096273373</v>
      </c>
      <c r="K40" s="224">
        <v>2.3987393584917776</v>
      </c>
      <c r="L40" s="223">
        <f>1/K40</f>
        <v>0.41688564306076015</v>
      </c>
      <c r="M40" s="222">
        <f>VLOOKUP(B40,'[1]Industry Averages'!$A$9:$E$104,5,0)</f>
        <v>5.4777162946450651E-2</v>
      </c>
    </row>
    <row r="41" spans="2:13">
      <c r="B41" s="228" t="s">
        <v>376</v>
      </c>
      <c r="C41" s="227">
        <v>32</v>
      </c>
      <c r="D41" s="226">
        <v>6.987000000000001</v>
      </c>
      <c r="E41" s="226">
        <v>5.0289999999999973</v>
      </c>
      <c r="F41" s="225">
        <v>1.3893418174587402</v>
      </c>
      <c r="G41" s="226">
        <v>0</v>
      </c>
      <c r="H41" s="226">
        <v>1.440000000000019E-2</v>
      </c>
      <c r="I41" s="225">
        <v>1.9393915557216219E-3</v>
      </c>
      <c r="J41" s="225">
        <v>0.2785279810024085</v>
      </c>
      <c r="K41" s="224">
        <v>6.2547509341966405</v>
      </c>
      <c r="L41" s="223">
        <f>1/K41</f>
        <v>0.15987846846669682</v>
      </c>
      <c r="M41" s="222">
        <f>VLOOKUP(B41,'[1]Industry Averages'!$A$9:$E$104,5,0)</f>
        <v>-0.12880591650667342</v>
      </c>
    </row>
    <row r="42" spans="2:13">
      <c r="B42" s="228" t="s">
        <v>375</v>
      </c>
      <c r="C42" s="227">
        <v>38</v>
      </c>
      <c r="D42" s="226">
        <v>205.1639999999999</v>
      </c>
      <c r="E42" s="226">
        <v>125.40899999999999</v>
      </c>
      <c r="F42" s="225">
        <v>1.635959141688395</v>
      </c>
      <c r="G42" s="226">
        <v>258.56399999999996</v>
      </c>
      <c r="H42" s="226">
        <v>0.71700000000015507</v>
      </c>
      <c r="I42" s="225">
        <v>5.678549822224991E-2</v>
      </c>
      <c r="J42" s="225">
        <v>1.2293976587488495</v>
      </c>
      <c r="K42" s="224">
        <v>2.8429462461480384</v>
      </c>
      <c r="L42" s="223">
        <f>1/K42</f>
        <v>0.35174776918660311</v>
      </c>
      <c r="M42" s="222">
        <f>VLOOKUP(B42,'[1]Industry Averages'!$A$9:$E$104,5,0)</f>
        <v>0.16055101798163096</v>
      </c>
    </row>
    <row r="43" spans="2:13">
      <c r="B43" s="228" t="s">
        <v>374</v>
      </c>
      <c r="C43" s="227">
        <v>18</v>
      </c>
      <c r="D43" s="226">
        <v>2209.9460000000008</v>
      </c>
      <c r="E43" s="226">
        <v>407.41700000000003</v>
      </c>
      <c r="F43" s="225">
        <v>5.4242851918304851</v>
      </c>
      <c r="G43" s="226">
        <v>155.48400000000001</v>
      </c>
      <c r="H43" s="226">
        <v>1.8600000000105865E-2</v>
      </c>
      <c r="I43" s="225">
        <v>0.62222232108695863</v>
      </c>
      <c r="J43" s="225">
        <v>1.7375867271130236</v>
      </c>
      <c r="K43" s="224">
        <v>0.17791576151384964</v>
      </c>
      <c r="L43" s="223">
        <f>1/K43</f>
        <v>5.620637494346763</v>
      </c>
      <c r="M43" s="222">
        <f>VLOOKUP(B43,'[1]Industry Averages'!$A$9:$E$104,5,0)</f>
        <v>0.12033880405733269</v>
      </c>
    </row>
    <row r="44" spans="2:13">
      <c r="B44" s="228" t="s">
        <v>373</v>
      </c>
      <c r="C44" s="227">
        <v>13</v>
      </c>
      <c r="D44" s="226">
        <v>28.855000000000004</v>
      </c>
      <c r="E44" s="226">
        <v>8.5590000000000011</v>
      </c>
      <c r="F44" s="225">
        <v>3.37130505900222</v>
      </c>
      <c r="G44" s="226">
        <v>0</v>
      </c>
      <c r="H44" s="226">
        <v>-6.1599999999998545E-2</v>
      </c>
      <c r="I44" s="225">
        <v>9.3935229889326344E-2</v>
      </c>
      <c r="J44" s="225">
        <v>1.078518650966914</v>
      </c>
      <c r="K44" s="224">
        <v>1.0103972299070223</v>
      </c>
      <c r="L44" s="223">
        <f>1/K44</f>
        <v>0.98970976008319123</v>
      </c>
      <c r="M44" s="222">
        <f>VLOOKUP(B44,'[1]Industry Averages'!$A$9:$E$104,5,0)</f>
        <v>0.13112550858463776</v>
      </c>
    </row>
    <row r="45" spans="2:13">
      <c r="B45" s="228" t="s">
        <v>372</v>
      </c>
      <c r="C45" s="227">
        <v>30</v>
      </c>
      <c r="D45" s="226">
        <v>58.57</v>
      </c>
      <c r="E45" s="226">
        <v>48.622000000000007</v>
      </c>
      <c r="F45" s="225">
        <v>1.2045987413105177</v>
      </c>
      <c r="G45" s="226">
        <v>139.298</v>
      </c>
      <c r="H45" s="226">
        <v>0.11639999999999873</v>
      </c>
      <c r="I45" s="225">
        <v>0.21153810202272269</v>
      </c>
      <c r="J45" s="225">
        <v>1.598799920268565</v>
      </c>
      <c r="K45" s="224">
        <v>2.2587325328416026</v>
      </c>
      <c r="L45" s="223">
        <f>1/K45</f>
        <v>0.44272616853043162</v>
      </c>
      <c r="M45" s="222">
        <f>VLOOKUP(B45,'[1]Industry Averages'!$A$9:$E$104,5,0)</f>
        <v>0.5607973554348672</v>
      </c>
    </row>
    <row r="46" spans="2:13">
      <c r="B46" s="228" t="s">
        <v>371</v>
      </c>
      <c r="C46" s="227">
        <v>14</v>
      </c>
      <c r="D46" s="226">
        <v>245.56200000000001</v>
      </c>
      <c r="E46" s="226">
        <v>130.38100000000003</v>
      </c>
      <c r="F46" s="225">
        <v>1.8834185962678609</v>
      </c>
      <c r="G46" s="226">
        <v>0</v>
      </c>
      <c r="H46" s="226">
        <v>-5.9585999999999331</v>
      </c>
      <c r="I46" s="225">
        <v>5.2776095978677454E-2</v>
      </c>
      <c r="J46" s="225">
        <v>0.27452649041740573</v>
      </c>
      <c r="K46" s="224">
        <v>0.8419131155581171</v>
      </c>
      <c r="L46" s="223">
        <f>1/K46</f>
        <v>1.187771019978807</v>
      </c>
      <c r="M46" s="222">
        <f>VLOOKUP(B46,'[1]Industry Averages'!$A$9:$E$104,5,0)</f>
        <v>6.8925325537212895E-2</v>
      </c>
    </row>
    <row r="47" spans="2:13">
      <c r="B47" s="228" t="s">
        <v>370</v>
      </c>
      <c r="C47" s="227">
        <v>1</v>
      </c>
      <c r="D47" s="226">
        <v>0</v>
      </c>
      <c r="E47" s="226">
        <v>0</v>
      </c>
      <c r="F47" s="225" t="s">
        <v>318</v>
      </c>
      <c r="G47" s="226">
        <v>0</v>
      </c>
      <c r="H47" s="226">
        <v>0</v>
      </c>
      <c r="I47" s="225">
        <v>0</v>
      </c>
      <c r="J47" s="225">
        <v>0</v>
      </c>
      <c r="K47" s="224">
        <v>0.39187227866473157</v>
      </c>
      <c r="L47" s="223">
        <f>1/K47</f>
        <v>2.5518518518518514</v>
      </c>
      <c r="M47" s="222">
        <f>VLOOKUP(B47,'[1]Industry Averages'!$A$9:$E$104,5,0)</f>
        <v>-8.7953555878084178E-2</v>
      </c>
    </row>
    <row r="48" spans="2:13">
      <c r="B48" s="228" t="s">
        <v>369</v>
      </c>
      <c r="C48" s="227">
        <v>24</v>
      </c>
      <c r="D48" s="226">
        <v>359.25599999999991</v>
      </c>
      <c r="E48" s="226">
        <v>253.76999999999998</v>
      </c>
      <c r="F48" s="225">
        <v>1.4156756117744411</v>
      </c>
      <c r="G48" s="226">
        <v>37.39</v>
      </c>
      <c r="H48" s="226">
        <v>-0.227800000000002</v>
      </c>
      <c r="I48" s="225">
        <v>2.8952690929321033E-2</v>
      </c>
      <c r="J48" s="225">
        <v>0.27604457399917059</v>
      </c>
      <c r="K48" s="224">
        <v>1.5637777259650962</v>
      </c>
      <c r="L48" s="223">
        <f>1/K48</f>
        <v>0.6394770710670169</v>
      </c>
      <c r="M48" s="222">
        <f>VLOOKUP(B48,'[1]Industry Averages'!$A$9:$E$104,5,0)</f>
        <v>6.18346216636518E-2</v>
      </c>
    </row>
    <row r="49" spans="2:13">
      <c r="B49" s="228" t="s">
        <v>368</v>
      </c>
      <c r="C49" s="227">
        <v>57</v>
      </c>
      <c r="D49" s="226">
        <v>148.63600000000005</v>
      </c>
      <c r="E49" s="226">
        <v>218.17899999999997</v>
      </c>
      <c r="F49" s="225">
        <v>0.68125713290463363</v>
      </c>
      <c r="G49" s="226">
        <v>2.8319999999999999</v>
      </c>
      <c r="H49" s="226">
        <v>-0.28880000000003747</v>
      </c>
      <c r="I49" s="225">
        <v>-2.4199394941083311E-2</v>
      </c>
      <c r="J49" s="225">
        <v>-0.28817138514468504</v>
      </c>
      <c r="K49" s="224">
        <v>0.54590969046030613</v>
      </c>
      <c r="L49" s="223">
        <f>1/K49</f>
        <v>1.8318048158419922</v>
      </c>
      <c r="M49" s="222">
        <f>VLOOKUP(B49,'[1]Industry Averages'!$A$9:$E$104,5,0)</f>
        <v>-1.6908550269373573E-2</v>
      </c>
    </row>
    <row r="50" spans="2:13">
      <c r="B50" s="228" t="s">
        <v>367</v>
      </c>
      <c r="C50" s="227">
        <v>36</v>
      </c>
      <c r="D50" s="226">
        <v>349.27199999999999</v>
      </c>
      <c r="E50" s="226">
        <v>289.44400000000013</v>
      </c>
      <c r="F50" s="225">
        <v>1.206699741573499</v>
      </c>
      <c r="G50" s="226">
        <v>7.234</v>
      </c>
      <c r="H50" s="226">
        <v>0.22779999999966094</v>
      </c>
      <c r="I50" s="225">
        <v>5.3128495228211186E-3</v>
      </c>
      <c r="J50" s="225">
        <v>3.4634031632731738E-2</v>
      </c>
      <c r="K50" s="224">
        <v>1.8467133773836284</v>
      </c>
      <c r="L50" s="223">
        <f>1/K50</f>
        <v>0.54150254839046652</v>
      </c>
      <c r="M50" s="222">
        <f>VLOOKUP(B50,'[1]Industry Averages'!$A$9:$E$104,5,0)</f>
        <v>4.9129456316730782E-2</v>
      </c>
    </row>
    <row r="51" spans="2:13">
      <c r="B51" s="228" t="s">
        <v>366</v>
      </c>
      <c r="C51" s="227">
        <v>24</v>
      </c>
      <c r="D51" s="226">
        <v>242.60499999999999</v>
      </c>
      <c r="E51" s="226">
        <v>190.98800000000006</v>
      </c>
      <c r="F51" s="225">
        <v>1.2702630531761154</v>
      </c>
      <c r="G51" s="226">
        <v>152.81300000000002</v>
      </c>
      <c r="H51" s="226">
        <v>0.80420000000000158</v>
      </c>
      <c r="I51" s="225">
        <v>5.4409208363942217E-2</v>
      </c>
      <c r="J51" s="225" t="s">
        <v>318</v>
      </c>
      <c r="K51" s="224">
        <v>2.016158684729112</v>
      </c>
      <c r="L51" s="223">
        <f>1/K51</f>
        <v>0.49599270512497307</v>
      </c>
      <c r="M51" s="222" t="str">
        <f>VLOOKUP(B51,'[1]Industry Averages'!$A$9:$E$104,5,0)</f>
        <v>NA</v>
      </c>
    </row>
    <row r="52" spans="2:13">
      <c r="B52" s="228" t="s">
        <v>365</v>
      </c>
      <c r="C52" s="227">
        <v>2</v>
      </c>
      <c r="D52" s="226">
        <v>22.009999999999998</v>
      </c>
      <c r="E52" s="226">
        <v>20.84</v>
      </c>
      <c r="F52" s="225">
        <v>1.0561420345489443</v>
      </c>
      <c r="G52" s="226">
        <v>0</v>
      </c>
      <c r="H52" s="226">
        <v>0</v>
      </c>
      <c r="I52" s="225">
        <v>5.9022347777833736E-4</v>
      </c>
      <c r="J52" s="225" t="s">
        <v>318</v>
      </c>
      <c r="K52" s="224">
        <v>2.0227551020408163</v>
      </c>
      <c r="L52" s="223">
        <f>1/K52</f>
        <v>0.49437522070322354</v>
      </c>
      <c r="M52" s="222" t="str">
        <f>VLOOKUP(B52,'[1]Industry Averages'!$A$9:$E$104,5,0)</f>
        <v>NA</v>
      </c>
    </row>
    <row r="53" spans="2:13">
      <c r="B53" s="228" t="s">
        <v>364</v>
      </c>
      <c r="C53" s="227">
        <v>7</v>
      </c>
      <c r="D53" s="226">
        <v>159.36000000000001</v>
      </c>
      <c r="E53" s="226">
        <v>-1789.213</v>
      </c>
      <c r="F53" s="225" t="s">
        <v>318</v>
      </c>
      <c r="G53" s="226">
        <v>0</v>
      </c>
      <c r="H53" s="226">
        <v>0</v>
      </c>
      <c r="I53" s="225">
        <v>1.5894366174205841E-2</v>
      </c>
      <c r="J53" s="225">
        <v>1.0830438797279165</v>
      </c>
      <c r="K53" s="224">
        <v>27.659866021622332</v>
      </c>
      <c r="L53" s="223">
        <f>1/K53</f>
        <v>3.6153465068062073E-2</v>
      </c>
      <c r="M53" s="222">
        <f>VLOOKUP(B53,'[1]Industry Averages'!$A$9:$E$104,5,0)</f>
        <v>0.52271365920868906</v>
      </c>
    </row>
    <row r="54" spans="2:13">
      <c r="B54" s="228" t="s">
        <v>363</v>
      </c>
      <c r="C54" s="227">
        <v>2</v>
      </c>
      <c r="D54" s="226">
        <v>20.020000000000003</v>
      </c>
      <c r="E54" s="226">
        <v>7.7999999999999545</v>
      </c>
      <c r="F54" s="225">
        <v>2.566666666666682</v>
      </c>
      <c r="G54" s="226">
        <v>0</v>
      </c>
      <c r="H54" s="226">
        <v>0</v>
      </c>
      <c r="I54" s="225">
        <v>1.7839155632764555E-3</v>
      </c>
      <c r="J54" s="225">
        <v>2.3687101478835789E-2</v>
      </c>
      <c r="K54" s="224">
        <v>1.1971135683141541</v>
      </c>
      <c r="L54" s="223">
        <f>1/K54</f>
        <v>0.83534263287004507</v>
      </c>
      <c r="M54" s="222">
        <f>VLOOKUP(B54,'[1]Industry Averages'!$A$9:$E$104,5,0)</f>
        <v>2.1071216029695549E-3</v>
      </c>
    </row>
    <row r="55" spans="2:13">
      <c r="B55" s="228" t="s">
        <v>362</v>
      </c>
      <c r="C55" s="227">
        <v>96</v>
      </c>
      <c r="D55" s="226">
        <v>123.97400000000006</v>
      </c>
      <c r="E55" s="226">
        <v>152.52400000000011</v>
      </c>
      <c r="F55" s="225">
        <v>0.81281634365739142</v>
      </c>
      <c r="G55" s="226">
        <v>1.4E-2</v>
      </c>
      <c r="H55" s="226">
        <v>0.79800000000000182</v>
      </c>
      <c r="I55" s="225">
        <v>-6.2420506007113043E-3</v>
      </c>
      <c r="J55" s="225">
        <v>-3.2318517770407194E-2</v>
      </c>
      <c r="K55" s="224">
        <v>0.23998447600853637</v>
      </c>
      <c r="L55" s="223">
        <f>1/K55</f>
        <v>4.1669361978415198</v>
      </c>
      <c r="M55" s="222">
        <f>VLOOKUP(B55,'[1]Industry Averages'!$A$9:$E$104,5,0)</f>
        <v>-9.1890334416287415E-3</v>
      </c>
    </row>
    <row r="56" spans="2:13">
      <c r="B56" s="228" t="s">
        <v>361</v>
      </c>
      <c r="C56" s="227">
        <v>149</v>
      </c>
      <c r="D56" s="226">
        <v>364.84599999999972</v>
      </c>
      <c r="E56" s="226">
        <v>282.70999999999981</v>
      </c>
      <c r="F56" s="225">
        <v>1.2905309327579497</v>
      </c>
      <c r="G56" s="226">
        <v>47.929000000000009</v>
      </c>
      <c r="H56" s="226">
        <v>-203.96879999999976</v>
      </c>
      <c r="I56" s="225">
        <v>-6.5319394531836742E-3</v>
      </c>
      <c r="J56" s="225">
        <v>-8.107268208736218E-2</v>
      </c>
      <c r="K56" s="224">
        <v>1.749101753442039</v>
      </c>
      <c r="L56" s="223">
        <f>1/K56</f>
        <v>0.57172202705309194</v>
      </c>
      <c r="M56" s="222">
        <f>VLOOKUP(B56,'[1]Industry Averages'!$A$9:$E$104,5,0)</f>
        <v>5.711745461804045E-2</v>
      </c>
    </row>
    <row r="57" spans="2:13">
      <c r="B57" s="228" t="s">
        <v>360</v>
      </c>
      <c r="C57" s="227">
        <v>39</v>
      </c>
      <c r="D57" s="226">
        <v>3290.7089999999994</v>
      </c>
      <c r="E57" s="226">
        <v>2544.5460000000012</v>
      </c>
      <c r="F57" s="225">
        <v>1.2932401300664236</v>
      </c>
      <c r="G57" s="226">
        <v>50.6</v>
      </c>
      <c r="H57" s="226">
        <v>2.4316000000017084</v>
      </c>
      <c r="I57" s="225">
        <v>1.5023865210204128E-2</v>
      </c>
      <c r="J57" s="225">
        <v>0.12188782901690641</v>
      </c>
      <c r="K57" s="224">
        <v>1.5089391479616288</v>
      </c>
      <c r="L57" s="223">
        <f>1/K57</f>
        <v>0.66271724830710621</v>
      </c>
      <c r="M57" s="222">
        <f>VLOOKUP(B57,'[1]Industry Averages'!$A$9:$E$104,5,0)</f>
        <v>4.7486807148475557E-2</v>
      </c>
    </row>
    <row r="58" spans="2:13">
      <c r="B58" s="228" t="s">
        <v>359</v>
      </c>
      <c r="C58" s="227">
        <v>13</v>
      </c>
      <c r="D58" s="226">
        <v>11.138000000000002</v>
      </c>
      <c r="E58" s="226">
        <v>8.6159999999999997</v>
      </c>
      <c r="F58" s="225">
        <v>1.2927112349117922</v>
      </c>
      <c r="G58" s="226">
        <v>0</v>
      </c>
      <c r="H58" s="226">
        <v>4.3399999999998329E-2</v>
      </c>
      <c r="I58" s="225">
        <v>1.0388842543472452E-2</v>
      </c>
      <c r="J58" s="225">
        <v>0.16317856165464587</v>
      </c>
      <c r="K58" s="224">
        <v>1.9836940038374806</v>
      </c>
      <c r="L58" s="223">
        <f>1/K58</f>
        <v>0.5041100079273757</v>
      </c>
      <c r="M58" s="222">
        <f>VLOOKUP(B58,'[1]Industry Averages'!$A$9:$E$104,5,0)</f>
        <v>9.4608582412233591E-2</v>
      </c>
    </row>
    <row r="59" spans="2:13">
      <c r="B59" s="228" t="s">
        <v>358</v>
      </c>
      <c r="C59" s="227">
        <v>1</v>
      </c>
      <c r="D59" s="226">
        <v>5441.3</v>
      </c>
      <c r="E59" s="226">
        <v>3108.8</v>
      </c>
      <c r="F59" s="225">
        <v>1.7502895007720021</v>
      </c>
      <c r="G59" s="226">
        <v>0</v>
      </c>
      <c r="H59" s="226">
        <v>6.7600000000002183</v>
      </c>
      <c r="I59" s="225">
        <v>3.1070945187593728E-2</v>
      </c>
      <c r="J59" s="225">
        <v>0.44887612996332521</v>
      </c>
      <c r="K59" s="224">
        <v>1.5854294393906911</v>
      </c>
      <c r="L59" s="223">
        <f>1/K59</f>
        <v>0.63074393293990927</v>
      </c>
      <c r="M59" s="222">
        <f>VLOOKUP(B59,'[1]Industry Averages'!$A$9:$E$104,5,0)</f>
        <v>3.9412351988456329E-2</v>
      </c>
    </row>
    <row r="60" spans="2:13">
      <c r="B60" s="228" t="s">
        <v>357</v>
      </c>
      <c r="C60" s="227">
        <v>6</v>
      </c>
      <c r="D60" s="226">
        <v>984.04099999999994</v>
      </c>
      <c r="E60" s="226">
        <v>356.79100000000005</v>
      </c>
      <c r="F60" s="225">
        <v>2.7580320131393443</v>
      </c>
      <c r="G60" s="226">
        <v>0</v>
      </c>
      <c r="H60" s="226">
        <v>3.3999999999998636</v>
      </c>
      <c r="I60" s="225">
        <v>0.12979088160659558</v>
      </c>
      <c r="J60" s="225">
        <v>0.55508674543788539</v>
      </c>
      <c r="K60" s="224">
        <v>0.76607135875001109</v>
      </c>
      <c r="L60" s="223">
        <f>1/K60</f>
        <v>1.3053614243347869</v>
      </c>
      <c r="M60" s="222">
        <f>VLOOKUP(B60,'[1]Industry Averages'!$A$9:$E$104,5,0)</f>
        <v>0.1360487245614464</v>
      </c>
    </row>
    <row r="61" spans="2:13">
      <c r="B61" s="228" t="s">
        <v>356</v>
      </c>
      <c r="C61" s="227">
        <v>11</v>
      </c>
      <c r="D61" s="226">
        <v>175.249</v>
      </c>
      <c r="E61" s="226">
        <v>307.99700000000001</v>
      </c>
      <c r="F61" s="225">
        <v>0.56899580190716137</v>
      </c>
      <c r="G61" s="226">
        <v>24.6</v>
      </c>
      <c r="H61" s="226">
        <v>0</v>
      </c>
      <c r="I61" s="225">
        <v>-1.2710918169556327E-2</v>
      </c>
      <c r="J61" s="225">
        <v>-0.13728573957960782</v>
      </c>
      <c r="K61" s="224">
        <v>2.4712319074834248</v>
      </c>
      <c r="L61" s="223">
        <f>1/K61</f>
        <v>0.40465647799859805</v>
      </c>
      <c r="M61" s="222">
        <f>VLOOKUP(B61,'[1]Industry Averages'!$A$9:$E$104,5,0)</f>
        <v>5.1078271283413475E-2</v>
      </c>
    </row>
    <row r="62" spans="2:13">
      <c r="B62" s="228" t="s">
        <v>355</v>
      </c>
      <c r="C62" s="227">
        <v>22</v>
      </c>
      <c r="D62" s="226">
        <v>20972.774000000001</v>
      </c>
      <c r="E62" s="226">
        <v>7314.3220000000019</v>
      </c>
      <c r="F62" s="225">
        <v>2.8673572205325382</v>
      </c>
      <c r="G62" s="226">
        <v>303.3</v>
      </c>
      <c r="H62" s="226">
        <v>20.54859999999826</v>
      </c>
      <c r="I62" s="225">
        <v>4.307572207484802E-2</v>
      </c>
      <c r="J62" s="225">
        <v>1.2697498286588713</v>
      </c>
      <c r="K62" s="224">
        <v>1.7169471150374962</v>
      </c>
      <c r="L62" s="223">
        <f>1/K62</f>
        <v>0.58242912157382387</v>
      </c>
      <c r="M62" s="222">
        <f>VLOOKUP(B62,'[1]Industry Averages'!$A$9:$E$104,5,0)</f>
        <v>0.14364011191390805</v>
      </c>
    </row>
    <row r="63" spans="2:13">
      <c r="B63" s="228" t="s">
        <v>354</v>
      </c>
      <c r="C63" s="227">
        <v>79</v>
      </c>
      <c r="D63" s="226">
        <v>496.73400000000004</v>
      </c>
      <c r="E63" s="226">
        <v>241.19500000000011</v>
      </c>
      <c r="F63" s="225">
        <v>2.0594705528721566</v>
      </c>
      <c r="G63" s="226">
        <v>-2.1000000000000001E-2</v>
      </c>
      <c r="H63" s="226">
        <v>0.70659999999998035</v>
      </c>
      <c r="I63" s="225">
        <v>3.951158378589182E-2</v>
      </c>
      <c r="J63" s="225">
        <v>0.69052921631519515</v>
      </c>
      <c r="K63" s="224">
        <v>1.478543060181414</v>
      </c>
      <c r="L63" s="223">
        <f>1/K63</f>
        <v>0.67634147894029018</v>
      </c>
      <c r="M63" s="222">
        <f>VLOOKUP(B63,'[1]Industry Averages'!$A$9:$E$104,5,0)</f>
        <v>0.12924755000991897</v>
      </c>
    </row>
    <row r="64" spans="2:13">
      <c r="B64" s="228" t="s">
        <v>353</v>
      </c>
      <c r="C64" s="227">
        <v>50</v>
      </c>
      <c r="D64" s="226">
        <v>383.40699999999975</v>
      </c>
      <c r="E64" s="226">
        <v>200.15199999999996</v>
      </c>
      <c r="F64" s="225">
        <v>1.9155791598385219</v>
      </c>
      <c r="G64" s="226">
        <v>6.6289999999999996</v>
      </c>
      <c r="H64" s="226">
        <v>0.80820000000016989</v>
      </c>
      <c r="I64" s="225">
        <v>3.5064032631662356E-2</v>
      </c>
      <c r="J64" s="225">
        <v>0.36737281198455657</v>
      </c>
      <c r="K64" s="224">
        <v>1.2129510738707308</v>
      </c>
      <c r="L64" s="223">
        <f>1/K64</f>
        <v>0.82443556178142607</v>
      </c>
      <c r="M64" s="222">
        <f>VLOOKUP(B64,'[1]Industry Averages'!$A$9:$E$104,5,0)</f>
        <v>5.7808054027391566E-2</v>
      </c>
    </row>
    <row r="65" spans="2:13">
      <c r="B65" s="228" t="s">
        <v>352</v>
      </c>
      <c r="C65" s="227">
        <v>30</v>
      </c>
      <c r="D65" s="226">
        <v>9577.5750000000044</v>
      </c>
      <c r="E65" s="226">
        <v>6046.0380000000014</v>
      </c>
      <c r="F65" s="225">
        <v>1.5841076420624551</v>
      </c>
      <c r="G65" s="226">
        <v>136.30000000000001</v>
      </c>
      <c r="H65" s="226">
        <v>11.251600000001417</v>
      </c>
      <c r="I65" s="225">
        <v>4.9610993909065593E-2</v>
      </c>
      <c r="J65" s="225">
        <v>0.33518376876360284</v>
      </c>
      <c r="K65" s="224">
        <v>0.54234523967187198</v>
      </c>
      <c r="L65" s="223">
        <f>1/K65</f>
        <v>1.8438439703186422</v>
      </c>
      <c r="M65" s="222">
        <f>VLOOKUP(B65,'[1]Industry Averages'!$A$9:$E$104,5,0)</f>
        <v>5.2286628677512687E-2</v>
      </c>
    </row>
    <row r="66" spans="2:13">
      <c r="B66" s="228" t="s">
        <v>351</v>
      </c>
      <c r="C66" s="227">
        <v>1</v>
      </c>
      <c r="D66" s="226">
        <v>3.7999999999999999E-2</v>
      </c>
      <c r="E66" s="226">
        <v>3.0000000000000001E-3</v>
      </c>
      <c r="F66" s="225">
        <v>12.666666666666666</v>
      </c>
      <c r="G66" s="226">
        <v>0</v>
      </c>
      <c r="H66" s="226">
        <v>0</v>
      </c>
      <c r="I66" s="225">
        <v>8.7499999999999982</v>
      </c>
      <c r="J66" s="225" t="s">
        <v>318</v>
      </c>
      <c r="K66" s="224">
        <v>6.8622405215302803E-4</v>
      </c>
      <c r="L66" s="223">
        <f>1/K66</f>
        <v>1457.2499999999998</v>
      </c>
      <c r="M66" s="222" t="str">
        <f>VLOOKUP(B66,'[1]Industry Averages'!$A$9:$E$104,5,0)</f>
        <v>NA</v>
      </c>
    </row>
    <row r="67" spans="2:13">
      <c r="B67" s="228" t="s">
        <v>350</v>
      </c>
      <c r="C67" s="227">
        <v>25</v>
      </c>
      <c r="D67" s="226">
        <v>22.612000000000002</v>
      </c>
      <c r="E67" s="226">
        <v>66.911999999999992</v>
      </c>
      <c r="F67" s="225">
        <v>0.33793639406982312</v>
      </c>
      <c r="G67" s="226">
        <v>4.9950000000000001</v>
      </c>
      <c r="H67" s="226">
        <v>0.10119999999997731</v>
      </c>
      <c r="I67" s="225">
        <v>-3.1455569703840829E-2</v>
      </c>
      <c r="J67" s="225">
        <v>-0.47283571497967053</v>
      </c>
      <c r="K67" s="224">
        <v>0.79541061078468267</v>
      </c>
      <c r="L67" s="223">
        <f>1/K67</f>
        <v>1.2572122956889993</v>
      </c>
      <c r="M67" s="222">
        <f>VLOOKUP(B67,'[1]Industry Averages'!$A$9:$E$104,5,0)</f>
        <v>-2.0872202952572742E-3</v>
      </c>
    </row>
    <row r="68" spans="2:13">
      <c r="B68" s="228" t="s">
        <v>349</v>
      </c>
      <c r="C68" s="227">
        <v>4</v>
      </c>
      <c r="D68" s="226">
        <v>0.47899999999999998</v>
      </c>
      <c r="E68" s="226">
        <v>221.09999999999997</v>
      </c>
      <c r="F68" s="225">
        <v>2.1664405246494801E-3</v>
      </c>
      <c r="G68" s="226">
        <v>167.4</v>
      </c>
      <c r="H68" s="226">
        <v>0</v>
      </c>
      <c r="I68" s="225">
        <v>-5.5450093769535268E-2</v>
      </c>
      <c r="J68" s="225">
        <v>-0.1196015143947952</v>
      </c>
      <c r="K68" s="224">
        <v>0.10401742654947817</v>
      </c>
      <c r="L68" s="223">
        <f>1/K68</f>
        <v>9.613773702854763</v>
      </c>
      <c r="M68" s="222">
        <f>VLOOKUP(B68,'[1]Industry Averages'!$A$9:$E$104,5,0)</f>
        <v>-5.255710794257038E-3</v>
      </c>
    </row>
    <row r="69" spans="2:13">
      <c r="B69" s="228" t="s">
        <v>348</v>
      </c>
      <c r="C69" s="227">
        <v>137</v>
      </c>
      <c r="D69" s="226">
        <v>458.39599999999967</v>
      </c>
      <c r="E69" s="226">
        <v>132.47399999999999</v>
      </c>
      <c r="F69" s="225">
        <v>3.4602714494919735</v>
      </c>
      <c r="G69" s="226">
        <v>-1.0689999999999991</v>
      </c>
      <c r="H69" s="226">
        <v>0.21940000000006421</v>
      </c>
      <c r="I69" s="225">
        <v>6.5727372224622632E-2</v>
      </c>
      <c r="J69" s="225">
        <v>0.46036074137383692</v>
      </c>
      <c r="K69" s="224">
        <v>0.3554555570308639</v>
      </c>
      <c r="L69" s="223">
        <f>1/K69</f>
        <v>2.813291226484246</v>
      </c>
      <c r="M69" s="222">
        <f>VLOOKUP(B69,'[1]Industry Averages'!$A$9:$E$104,5,0)</f>
        <v>4.6094470092084644E-2</v>
      </c>
    </row>
    <row r="70" spans="2:13">
      <c r="B70" s="228" t="s">
        <v>347</v>
      </c>
      <c r="C70" s="227">
        <v>15</v>
      </c>
      <c r="D70" s="226">
        <v>43.756</v>
      </c>
      <c r="E70" s="226">
        <v>91.657000000000025</v>
      </c>
      <c r="F70" s="225">
        <v>0.47738852460804942</v>
      </c>
      <c r="G70" s="226">
        <v>114.001</v>
      </c>
      <c r="H70" s="226">
        <v>6.779999999997699E-2</v>
      </c>
      <c r="I70" s="225">
        <v>3.7157452992883269E-2</v>
      </c>
      <c r="J70" s="225">
        <v>0.1909782731680417</v>
      </c>
      <c r="K70" s="224">
        <v>0.18337935269557221</v>
      </c>
      <c r="L70" s="223">
        <f>1/K70</f>
        <v>5.4531766270333524</v>
      </c>
      <c r="M70" s="222">
        <f>VLOOKUP(B70,'[1]Industry Averages'!$A$9:$E$104,5,0)</f>
        <v>-5.5160550821569329E-3</v>
      </c>
    </row>
    <row r="71" spans="2:13">
      <c r="B71" s="228" t="s">
        <v>346</v>
      </c>
      <c r="C71" s="227">
        <v>30</v>
      </c>
      <c r="D71" s="226">
        <v>2.4489999999999994</v>
      </c>
      <c r="E71" s="226">
        <v>24.219999999999995</v>
      </c>
      <c r="F71" s="225">
        <v>0.10111478117258464</v>
      </c>
      <c r="G71" s="226">
        <v>0</v>
      </c>
      <c r="H71" s="226">
        <v>2.0600000000001728E-2</v>
      </c>
      <c r="I71" s="225">
        <v>-0.12135806946575531</v>
      </c>
      <c r="J71" s="225">
        <v>-0.35085282609750534</v>
      </c>
      <c r="K71" s="224">
        <v>0.2223747310359025</v>
      </c>
      <c r="L71" s="223">
        <f>1/K71</f>
        <v>4.4969138145401493</v>
      </c>
      <c r="M71" s="222">
        <f>VLOOKUP(B71,'[1]Industry Averages'!$A$9:$E$104,5,0)</f>
        <v>-3.2764428544759978E-2</v>
      </c>
    </row>
    <row r="72" spans="2:13">
      <c r="B72" s="228" t="s">
        <v>345</v>
      </c>
      <c r="C72" s="227">
        <v>11</v>
      </c>
      <c r="D72" s="226">
        <v>3.5510000000000002</v>
      </c>
      <c r="E72" s="226">
        <v>18.690000000000005</v>
      </c>
      <c r="F72" s="225">
        <v>0.18999464954521131</v>
      </c>
      <c r="G72" s="226">
        <v>0</v>
      </c>
      <c r="H72" s="226">
        <v>-3.5999999999987153E-3</v>
      </c>
      <c r="I72" s="225">
        <v>-0.13896245721260175</v>
      </c>
      <c r="J72" s="225">
        <v>-0.87944317733493726</v>
      </c>
      <c r="K72" s="224">
        <v>0.39546291225931024</v>
      </c>
      <c r="L72" s="223">
        <f>1/K72</f>
        <v>2.5286821317501622</v>
      </c>
      <c r="M72" s="222">
        <f>VLOOKUP(B72,'[1]Industry Averages'!$A$9:$E$104,5,0)</f>
        <v>-4.8298479733488581E-2</v>
      </c>
    </row>
    <row r="73" spans="2:13">
      <c r="B73" s="228" t="s">
        <v>344</v>
      </c>
      <c r="C73" s="227">
        <v>1</v>
      </c>
      <c r="D73" s="226">
        <v>2.48</v>
      </c>
      <c r="E73" s="226">
        <v>0.79999999999995453</v>
      </c>
      <c r="F73" s="225">
        <v>3.1000000000001764</v>
      </c>
      <c r="G73" s="226">
        <v>0</v>
      </c>
      <c r="H73" s="226">
        <v>0</v>
      </c>
      <c r="I73" s="225">
        <v>2.8865483410938736E-4</v>
      </c>
      <c r="J73" s="225">
        <v>3.4129116353550874E-3</v>
      </c>
      <c r="K73" s="224">
        <v>1.0845425526562449</v>
      </c>
      <c r="L73" s="223">
        <f>1/K73</f>
        <v>0.92204773113864036</v>
      </c>
      <c r="M73" s="222">
        <f>VLOOKUP(B73,'[1]Industry Averages'!$A$9:$E$104,5,0)</f>
        <v>3.1305845062155988E-4</v>
      </c>
    </row>
    <row r="74" spans="2:13">
      <c r="B74" s="228" t="s">
        <v>343</v>
      </c>
      <c r="C74" s="227">
        <v>13</v>
      </c>
      <c r="D74" s="226">
        <v>238.21899999999997</v>
      </c>
      <c r="E74" s="226">
        <v>197.71199999999996</v>
      </c>
      <c r="F74" s="225">
        <v>1.2048788136279034</v>
      </c>
      <c r="G74" s="226">
        <v>96.355000000000004</v>
      </c>
      <c r="H74" s="226">
        <v>0</v>
      </c>
      <c r="I74" s="225">
        <v>6.9807000694183399E-2</v>
      </c>
      <c r="J74" s="225">
        <v>0.88382400419783902</v>
      </c>
      <c r="K74" s="224">
        <v>1.1162340170939109</v>
      </c>
      <c r="L74" s="223">
        <f>1/K74</f>
        <v>0.89586949034529206</v>
      </c>
      <c r="M74" s="222">
        <f>VLOOKUP(B74,'[1]Industry Averages'!$A$9:$E$104,5,0)</f>
        <v>8.9699132232692561E-2</v>
      </c>
    </row>
    <row r="75" spans="2:13">
      <c r="B75" s="228" t="s">
        <v>342</v>
      </c>
      <c r="C75" s="227">
        <v>4</v>
      </c>
      <c r="D75" s="226">
        <v>2.09</v>
      </c>
      <c r="E75" s="226">
        <v>2.9610000000000003</v>
      </c>
      <c r="F75" s="225">
        <v>0.7058426207362376</v>
      </c>
      <c r="G75" s="226">
        <v>0</v>
      </c>
      <c r="H75" s="226">
        <v>0</v>
      </c>
      <c r="I75" s="225">
        <v>-4.0863816990152355E-3</v>
      </c>
      <c r="J75" s="225">
        <v>-0.29761597466706147</v>
      </c>
      <c r="K75" s="224">
        <v>3.913251817580965</v>
      </c>
      <c r="L75" s="223">
        <f>1/K75</f>
        <v>0.25554194992188489</v>
      </c>
      <c r="M75" s="222">
        <f>VLOOKUP(B75,'[1]Industry Averages'!$A$9:$E$104,5,0)</f>
        <v>0.11542089413722149</v>
      </c>
    </row>
    <row r="76" spans="2:13">
      <c r="B76" s="228" t="s">
        <v>341</v>
      </c>
      <c r="C76" s="227">
        <v>2</v>
      </c>
      <c r="D76" s="226">
        <v>5.16</v>
      </c>
      <c r="E76" s="226">
        <v>6.35</v>
      </c>
      <c r="F76" s="225">
        <v>0.81259842519685044</v>
      </c>
      <c r="G76" s="226">
        <v>0</v>
      </c>
      <c r="H76" s="226">
        <v>0</v>
      </c>
      <c r="I76" s="225">
        <v>-2.7262313860251992E-3</v>
      </c>
      <c r="J76" s="225">
        <v>-0.47387853055196599</v>
      </c>
      <c r="K76" s="224">
        <v>3.9317240136912268</v>
      </c>
      <c r="L76" s="223">
        <f>1/K76</f>
        <v>0.2543413516609393</v>
      </c>
      <c r="M76" s="222">
        <f>VLOOKUP(B76,'[1]Industry Averages'!$A$9:$E$104,5,0)</f>
        <v>-7.0849812703902906E-2</v>
      </c>
    </row>
    <row r="77" spans="2:13">
      <c r="B77" s="228" t="s">
        <v>340</v>
      </c>
      <c r="C77" s="227">
        <v>239</v>
      </c>
      <c r="D77" s="226">
        <v>1877.3529999999996</v>
      </c>
      <c r="E77" s="226">
        <v>270.19499999999977</v>
      </c>
      <c r="F77" s="225">
        <v>6.9481411573123157</v>
      </c>
      <c r="G77" s="226">
        <v>66.355000000000004</v>
      </c>
      <c r="H77" s="226">
        <v>3.0000000000086402E-2</v>
      </c>
      <c r="I77" s="225">
        <v>8.6444957619814869E-2</v>
      </c>
      <c r="J77" s="225">
        <v>3.0138247652546903</v>
      </c>
      <c r="K77" s="224">
        <v>1.8495472161548048</v>
      </c>
      <c r="L77" s="223">
        <f>1/K77</f>
        <v>0.54067286915712953</v>
      </c>
      <c r="M77" s="222">
        <f>VLOOKUP(B77,'[1]Industry Averages'!$A$9:$E$104,5,0)</f>
        <v>0.13155020801505649</v>
      </c>
    </row>
    <row r="78" spans="2:13">
      <c r="B78" s="228" t="s">
        <v>339</v>
      </c>
      <c r="C78" s="227">
        <v>5</v>
      </c>
      <c r="D78" s="226">
        <v>37.169999999999995</v>
      </c>
      <c r="E78" s="226">
        <v>304.18</v>
      </c>
      <c r="F78" s="225">
        <v>0.12219738312841079</v>
      </c>
      <c r="G78" s="226">
        <v>0</v>
      </c>
      <c r="H78" s="226">
        <v>0</v>
      </c>
      <c r="I78" s="225">
        <v>-0.11824019130280755</v>
      </c>
      <c r="J78" s="225" t="s">
        <v>318</v>
      </c>
      <c r="K78" s="224">
        <v>0.78189759225955302</v>
      </c>
      <c r="L78" s="223">
        <f>1/K78</f>
        <v>1.2789398636081837</v>
      </c>
      <c r="M78" s="222" t="str">
        <f>VLOOKUP(B78,'[1]Industry Averages'!$A$9:$E$104,5,0)</f>
        <v>NA</v>
      </c>
    </row>
    <row r="79" spans="2:13">
      <c r="B79" s="228" t="s">
        <v>338</v>
      </c>
      <c r="C79" s="227">
        <v>5</v>
      </c>
      <c r="D79" s="226">
        <v>290.51799999999997</v>
      </c>
      <c r="E79" s="226">
        <v>72.546000000000006</v>
      </c>
      <c r="F79" s="225">
        <v>4.0046039754087053</v>
      </c>
      <c r="G79" s="226">
        <v>0</v>
      </c>
      <c r="H79" s="226">
        <v>0</v>
      </c>
      <c r="I79" s="225">
        <v>4.4944867420352821E-2</v>
      </c>
      <c r="J79" s="225">
        <v>0.77377882336589843</v>
      </c>
      <c r="K79" s="224">
        <v>2.8303328399949574</v>
      </c>
      <c r="L79" s="223">
        <f>1/K79</f>
        <v>0.35331533658132647</v>
      </c>
      <c r="M79" s="222">
        <f>VLOOKUP(B79,'[1]Industry Averages'!$A$9:$E$104,5,0)</f>
        <v>0.21158284062596186</v>
      </c>
    </row>
    <row r="80" spans="2:13">
      <c r="B80" s="228" t="s">
        <v>337</v>
      </c>
      <c r="C80" s="227">
        <v>13</v>
      </c>
      <c r="D80" s="226">
        <v>35.311</v>
      </c>
      <c r="E80" s="226">
        <v>47.831000000000003</v>
      </c>
      <c r="F80" s="225">
        <v>0.73824507118814153</v>
      </c>
      <c r="G80" s="226">
        <v>26.27</v>
      </c>
      <c r="H80" s="226">
        <v>0.42920000000003711</v>
      </c>
      <c r="I80" s="225">
        <v>8.3257489192944192E-3</v>
      </c>
      <c r="J80" s="225" t="s">
        <v>318</v>
      </c>
      <c r="K80" s="224">
        <v>0.90286408066942947</v>
      </c>
      <c r="L80" s="223">
        <f>1/K80</f>
        <v>1.1075864256982613</v>
      </c>
      <c r="M80" s="222" t="str">
        <f>VLOOKUP(B80,'[1]Industry Averages'!$A$9:$E$104,5,0)</f>
        <v>NA</v>
      </c>
    </row>
    <row r="81" spans="2:13">
      <c r="B81" s="228" t="s">
        <v>336</v>
      </c>
      <c r="C81" s="227">
        <v>28</v>
      </c>
      <c r="D81" s="226">
        <v>130.67999999999998</v>
      </c>
      <c r="E81" s="226">
        <v>208.64199999999997</v>
      </c>
      <c r="F81" s="225">
        <v>0.62633602055195026</v>
      </c>
      <c r="G81" s="226">
        <v>-0.12</v>
      </c>
      <c r="H81" s="226">
        <v>0.13580000000001746</v>
      </c>
      <c r="I81" s="225">
        <v>-1.6713976996844022E-2</v>
      </c>
      <c r="J81" s="225">
        <v>-0.7382619924875593</v>
      </c>
      <c r="K81" s="224">
        <v>1.5681994972937092</v>
      </c>
      <c r="L81" s="223">
        <f>1/K81</f>
        <v>0.6376739705156973</v>
      </c>
      <c r="M81" s="222">
        <f>VLOOKUP(B81,'[1]Industry Averages'!$A$9:$E$104,5,0)</f>
        <v>6.9002525312139878E-2</v>
      </c>
    </row>
    <row r="82" spans="2:13">
      <c r="B82" s="228" t="s">
        <v>335</v>
      </c>
      <c r="C82" s="227">
        <v>16</v>
      </c>
      <c r="D82" s="226">
        <v>867.07800000000009</v>
      </c>
      <c r="E82" s="226">
        <v>510.80799999999994</v>
      </c>
      <c r="F82" s="225">
        <v>1.697463626254875</v>
      </c>
      <c r="G82" s="226">
        <v>0</v>
      </c>
      <c r="H82" s="226">
        <v>2.4633999999999787</v>
      </c>
      <c r="I82" s="225">
        <v>3.4196272715001814E-2</v>
      </c>
      <c r="J82" s="225">
        <v>0.8589267525665949</v>
      </c>
      <c r="K82" s="224">
        <v>1.3204628527400293</v>
      </c>
      <c r="L82" s="223">
        <f>1/K82</f>
        <v>0.75731020976845187</v>
      </c>
      <c r="M82" s="222">
        <f>VLOOKUP(B82,'[1]Industry Averages'!$A$9:$E$104,5,0)</f>
        <v>0.10110433623143425</v>
      </c>
    </row>
    <row r="83" spans="2:13">
      <c r="B83" s="228" t="s">
        <v>334</v>
      </c>
      <c r="C83" s="227">
        <v>8</v>
      </c>
      <c r="D83" s="226">
        <v>11.166</v>
      </c>
      <c r="E83" s="226">
        <v>3.5999999999999996</v>
      </c>
      <c r="F83" s="225">
        <v>3.101666666666667</v>
      </c>
      <c r="G83" s="226">
        <v>0</v>
      </c>
      <c r="H83" s="226">
        <v>5.119999999999969E-2</v>
      </c>
      <c r="I83" s="225">
        <v>9.8898987276032205E-2</v>
      </c>
      <c r="J83" s="225">
        <v>6.4894376296640539</v>
      </c>
      <c r="K83" s="224">
        <v>0.90744999717231878</v>
      </c>
      <c r="L83" s="223">
        <f>1/K83</f>
        <v>1.1019890937418853</v>
      </c>
      <c r="M83" s="222">
        <f>VLOOKUP(B83,'[1]Industry Averages'!$A$9:$E$104,5,0)</f>
        <v>0.15848687566684819</v>
      </c>
    </row>
    <row r="84" spans="2:13">
      <c r="B84" s="228" t="s">
        <v>333</v>
      </c>
      <c r="C84" s="227">
        <v>1</v>
      </c>
      <c r="D84" s="226">
        <v>59.9</v>
      </c>
      <c r="E84" s="226">
        <v>5.22</v>
      </c>
      <c r="F84" s="225">
        <v>11.475095785440613</v>
      </c>
      <c r="G84" s="226">
        <v>0</v>
      </c>
      <c r="H84" s="226">
        <v>0</v>
      </c>
      <c r="I84" s="225">
        <v>0.64481132075471703</v>
      </c>
      <c r="J84" s="225">
        <v>3.1907520266412459</v>
      </c>
      <c r="K84" s="224">
        <v>0.84453739667363803</v>
      </c>
      <c r="L84" s="223">
        <f>1/K84</f>
        <v>1.1840801886792454</v>
      </c>
      <c r="M84" s="222">
        <f>VLOOKUP(B84,'[1]Industry Averages'!$A$9:$E$104,5,0)</f>
        <v>0.63668957275171789</v>
      </c>
    </row>
    <row r="85" spans="2:13">
      <c r="B85" s="228" t="s">
        <v>332</v>
      </c>
      <c r="C85" s="227">
        <v>20</v>
      </c>
      <c r="D85" s="226">
        <v>931.37200000000007</v>
      </c>
      <c r="E85" s="226">
        <v>501.19700000000017</v>
      </c>
      <c r="F85" s="225">
        <v>1.8582952411925844</v>
      </c>
      <c r="G85" s="226">
        <v>186.8</v>
      </c>
      <c r="H85" s="226">
        <v>0</v>
      </c>
      <c r="I85" s="225">
        <v>0.16691158846212736</v>
      </c>
      <c r="J85" s="225">
        <v>0.53795637574683053</v>
      </c>
      <c r="K85" s="224">
        <v>0.33701841721371267</v>
      </c>
      <c r="L85" s="223">
        <f>1/K85</f>
        <v>2.9671968916935256</v>
      </c>
      <c r="M85" s="222">
        <f>VLOOKUP(B85,'[1]Industry Averages'!$A$9:$E$104,5,0)</f>
        <v>5.3748694638332047E-2</v>
      </c>
    </row>
    <row r="86" spans="2:13">
      <c r="B86" s="228" t="s">
        <v>331</v>
      </c>
      <c r="C86" s="227">
        <v>12</v>
      </c>
      <c r="D86" s="226">
        <v>59.263999999999989</v>
      </c>
      <c r="E86" s="226">
        <v>69.007000000000005</v>
      </c>
      <c r="F86" s="225">
        <v>0.85881142492790563</v>
      </c>
      <c r="G86" s="226">
        <v>-1E-3</v>
      </c>
      <c r="H86" s="226">
        <v>0.39379999999999882</v>
      </c>
      <c r="I86" s="225">
        <v>-7.1880933894018367E-3</v>
      </c>
      <c r="J86" s="225">
        <v>-8.5463059597548505E-2</v>
      </c>
      <c r="K86" s="224">
        <v>1.6084227196896292</v>
      </c>
      <c r="L86" s="223">
        <f>1/K86</f>
        <v>0.62172710429815736</v>
      </c>
      <c r="M86" s="222">
        <f>VLOOKUP(B86,'[1]Industry Averages'!$A$9:$E$104,5,0)</f>
        <v>0.11401249404090913</v>
      </c>
    </row>
    <row r="87" spans="2:13">
      <c r="B87" s="228" t="s">
        <v>330</v>
      </c>
      <c r="C87" s="227">
        <v>7</v>
      </c>
      <c r="D87" s="226">
        <v>10.950000000000001</v>
      </c>
      <c r="E87" s="226">
        <v>48.873999999999988</v>
      </c>
      <c r="F87" s="225">
        <v>0.22404550476736104</v>
      </c>
      <c r="G87" s="226">
        <v>12.31</v>
      </c>
      <c r="H87" s="226">
        <v>1.2372000000000298</v>
      </c>
      <c r="I87" s="225">
        <v>-1.9746166083978358E-2</v>
      </c>
      <c r="J87" s="225">
        <v>-0.12663169957560894</v>
      </c>
      <c r="K87" s="224">
        <v>0.34598690857922021</v>
      </c>
      <c r="L87" s="223">
        <f>1/K87</f>
        <v>2.8902827685199286</v>
      </c>
      <c r="M87" s="222">
        <f>VLOOKUP(B87,'[1]Industry Averages'!$A$9:$E$104,5,0)</f>
        <v>2.4117780387075665E-2</v>
      </c>
    </row>
    <row r="88" spans="2:13">
      <c r="B88" s="228" t="s">
        <v>329</v>
      </c>
      <c r="C88" s="227">
        <v>7</v>
      </c>
      <c r="D88" s="226">
        <v>2.84</v>
      </c>
      <c r="E88" s="226">
        <v>2.6119999999999997</v>
      </c>
      <c r="F88" s="225">
        <v>1.0872894333843799</v>
      </c>
      <c r="G88" s="226">
        <v>0</v>
      </c>
      <c r="H88" s="226">
        <v>0</v>
      </c>
      <c r="I88" s="225">
        <v>7.0634158431178238E-3</v>
      </c>
      <c r="J88" s="225">
        <v>4.4442976080348924E-2</v>
      </c>
      <c r="K88" s="224">
        <v>2.8522576654590441</v>
      </c>
      <c r="L88" s="223">
        <f>1/K88</f>
        <v>0.35059946094984351</v>
      </c>
      <c r="M88" s="222">
        <f>VLOOKUP(B88,'[1]Industry Averages'!$A$9:$E$104,5,0)</f>
        <v>-3.6861833522354379E-2</v>
      </c>
    </row>
    <row r="89" spans="2:13">
      <c r="B89" s="228" t="s">
        <v>328</v>
      </c>
      <c r="C89" s="227">
        <v>74</v>
      </c>
      <c r="D89" s="226">
        <v>144.428</v>
      </c>
      <c r="E89" s="226">
        <v>159.71399999999994</v>
      </c>
      <c r="F89" s="225">
        <v>0.90429142091488568</v>
      </c>
      <c r="G89" s="226">
        <v>196.19200000000001</v>
      </c>
      <c r="H89" s="226">
        <v>32.915199999999686</v>
      </c>
      <c r="I89" s="225">
        <v>4.4408638596875938E-2</v>
      </c>
      <c r="J89" s="225">
        <v>0.35783811019503092</v>
      </c>
      <c r="K89" s="224">
        <v>1.7224831308002928</v>
      </c>
      <c r="L89" s="223">
        <f>1/K89</f>
        <v>0.58055720959971568</v>
      </c>
      <c r="M89" s="222">
        <f>VLOOKUP(B89,'[1]Industry Averages'!$A$9:$E$104,5,0)</f>
        <v>0.16585903789882139</v>
      </c>
    </row>
    <row r="90" spans="2:13">
      <c r="B90" s="228" t="s">
        <v>327</v>
      </c>
      <c r="C90" s="227">
        <v>157</v>
      </c>
      <c r="D90" s="226">
        <v>6002.2589999999982</v>
      </c>
      <c r="E90" s="226">
        <v>3615.0210000000015</v>
      </c>
      <c r="F90" s="225">
        <v>1.6603662883286143</v>
      </c>
      <c r="G90" s="226">
        <v>1294.383</v>
      </c>
      <c r="H90" s="226">
        <v>53.603199999999561</v>
      </c>
      <c r="I90" s="225">
        <v>3.5892631528412898E-2</v>
      </c>
      <c r="J90" s="225">
        <v>0.38824087955432512</v>
      </c>
      <c r="K90" s="224">
        <v>1.4225481431856728</v>
      </c>
      <c r="L90" s="223">
        <f>1/K90</f>
        <v>0.70296390655755736</v>
      </c>
      <c r="M90" s="222">
        <f>VLOOKUP(B90,'[1]Industry Averages'!$A$9:$E$104,5,0)</f>
        <v>0.10464826489767565</v>
      </c>
    </row>
    <row r="91" spans="2:13">
      <c r="B91" s="228" t="s">
        <v>326</v>
      </c>
      <c r="C91" s="227">
        <v>3</v>
      </c>
      <c r="D91" s="226">
        <v>3793.3300000000004</v>
      </c>
      <c r="E91" s="226">
        <v>7141.7999999999993</v>
      </c>
      <c r="F91" s="225">
        <v>0.53114480943179598</v>
      </c>
      <c r="G91" s="226">
        <v>0</v>
      </c>
      <c r="H91" s="226">
        <v>0</v>
      </c>
      <c r="I91" s="225">
        <v>-0.15952387758213274</v>
      </c>
      <c r="J91" s="225">
        <v>-1.8400342115345576</v>
      </c>
      <c r="K91" s="224">
        <v>0.40842598465950875</v>
      </c>
      <c r="L91" s="223">
        <f>1/K91</f>
        <v>2.4484240414665757</v>
      </c>
      <c r="M91" s="222">
        <f>VLOOKUP(B91,'[1]Industry Averages'!$A$9:$E$104,5,0)</f>
        <v>-0.12187764883110659</v>
      </c>
    </row>
    <row r="92" spans="2:13">
      <c r="B92" s="228" t="s">
        <v>325</v>
      </c>
      <c r="C92" s="227">
        <v>20</v>
      </c>
      <c r="D92" s="226">
        <v>99.47499999999998</v>
      </c>
      <c r="E92" s="226">
        <v>74.324999999999989</v>
      </c>
      <c r="F92" s="225">
        <v>1.3383787420114361</v>
      </c>
      <c r="G92" s="226">
        <v>29.494</v>
      </c>
      <c r="H92" s="226">
        <v>12.539400000000001</v>
      </c>
      <c r="I92" s="225">
        <v>4.2849452832908363E-2</v>
      </c>
      <c r="J92" s="225">
        <v>8.5530831082903198</v>
      </c>
      <c r="K92" s="224">
        <v>0.72113930050829955</v>
      </c>
      <c r="L92" s="223">
        <f>1/K92</f>
        <v>1.386694636244542</v>
      </c>
      <c r="M92" s="222">
        <f>VLOOKUP(B92,'[1]Industry Averages'!$A$9:$E$104,5,0)</f>
        <v>0.41266932855821736</v>
      </c>
    </row>
    <row r="93" spans="2:13">
      <c r="B93" s="228" t="s">
        <v>324</v>
      </c>
      <c r="C93" s="227">
        <v>13</v>
      </c>
      <c r="D93" s="226">
        <v>631.6880000000001</v>
      </c>
      <c r="E93" s="226">
        <v>1110.921</v>
      </c>
      <c r="F93" s="225">
        <v>0.5686164902814872</v>
      </c>
      <c r="G93" s="226">
        <v>2.1800000000000002</v>
      </c>
      <c r="H93" s="226">
        <v>1.5380000000000109</v>
      </c>
      <c r="I93" s="225">
        <v>-6.8482063377970318E-2</v>
      </c>
      <c r="J93" s="225">
        <v>-0.51772315476876751</v>
      </c>
      <c r="K93" s="224">
        <v>1.9842149074666495</v>
      </c>
      <c r="L93" s="223">
        <f>1/K93</f>
        <v>0.50397766705459945</v>
      </c>
      <c r="M93" s="222">
        <f>VLOOKUP(B93,'[1]Industry Averages'!$A$9:$E$104,5,0)</f>
        <v>2.2028553515396176E-2</v>
      </c>
    </row>
    <row r="94" spans="2:13">
      <c r="B94" s="228" t="s">
        <v>323</v>
      </c>
      <c r="C94" s="227">
        <v>5</v>
      </c>
      <c r="D94" s="226">
        <v>394.26600000000002</v>
      </c>
      <c r="E94" s="226">
        <v>243.61600000000001</v>
      </c>
      <c r="F94" s="225">
        <v>1.6183912386706949</v>
      </c>
      <c r="G94" s="226">
        <v>8.76</v>
      </c>
      <c r="H94" s="226">
        <v>-2.0200000000386353E-2</v>
      </c>
      <c r="I94" s="225">
        <v>1.7551893721658003E-2</v>
      </c>
      <c r="J94" s="225">
        <v>7.6115496138828051E-2</v>
      </c>
      <c r="K94" s="224">
        <v>1.0789829296784386</v>
      </c>
      <c r="L94" s="223">
        <f>1/K94</f>
        <v>0.92679872173512767</v>
      </c>
      <c r="M94" s="222">
        <f>VLOOKUP(B94,'[1]Industry Averages'!$A$9:$E$104,5,0)</f>
        <v>3.4434114836931928E-2</v>
      </c>
    </row>
    <row r="95" spans="2:13">
      <c r="B95" s="228" t="s">
        <v>322</v>
      </c>
      <c r="C95" s="227">
        <v>38</v>
      </c>
      <c r="D95" s="226">
        <v>412.60900000000004</v>
      </c>
      <c r="E95" s="226">
        <v>335.01199999999989</v>
      </c>
      <c r="F95" s="225">
        <v>1.2316245388224905</v>
      </c>
      <c r="G95" s="226">
        <v>4.7799999999999994</v>
      </c>
      <c r="H95" s="226">
        <v>-5.0200000000074851E-2</v>
      </c>
      <c r="I95" s="225">
        <v>1.1583083397924708E-2</v>
      </c>
      <c r="J95" s="225">
        <v>0.30380125344752773</v>
      </c>
      <c r="K95" s="224">
        <v>1.5809663907316838</v>
      </c>
      <c r="L95" s="223">
        <f>1/K95</f>
        <v>0.63252451529800835</v>
      </c>
      <c r="M95" s="222">
        <f>VLOOKUP(B95,'[1]Industry Averages'!$A$9:$E$104,5,0)</f>
        <v>2.4630860304572632E-2</v>
      </c>
    </row>
    <row r="96" spans="2:13">
      <c r="B96" s="228" t="s">
        <v>321</v>
      </c>
      <c r="C96" s="227">
        <v>1</v>
      </c>
      <c r="D96" s="226">
        <v>69.8</v>
      </c>
      <c r="E96" s="226">
        <v>68.2</v>
      </c>
      <c r="F96" s="225">
        <v>1.0234604105571847</v>
      </c>
      <c r="G96" s="226">
        <v>0</v>
      </c>
      <c r="H96" s="226">
        <v>0</v>
      </c>
      <c r="I96" s="225">
        <v>1.6323199347071968E-3</v>
      </c>
      <c r="J96" s="225">
        <v>1.3160349118764644E-2</v>
      </c>
      <c r="K96" s="224">
        <v>0.85427924002091704</v>
      </c>
      <c r="L96" s="223">
        <f>1/K96</f>
        <v>1.1705774331769023</v>
      </c>
      <c r="M96" s="222">
        <f>VLOOKUP(B96,'[1]Industry Averages'!$A$9:$E$104,5,0)</f>
        <v>5.1507756667247204E-4</v>
      </c>
    </row>
    <row r="97" spans="2:13">
      <c r="B97" s="228" t="s">
        <v>320</v>
      </c>
      <c r="C97" s="227">
        <v>12</v>
      </c>
      <c r="D97" s="226">
        <v>39.138999999999996</v>
      </c>
      <c r="E97" s="226">
        <v>24.734999999999996</v>
      </c>
      <c r="F97" s="225">
        <v>1.5823327269051952</v>
      </c>
      <c r="G97" s="226">
        <v>0</v>
      </c>
      <c r="H97" s="226">
        <v>0</v>
      </c>
      <c r="I97" s="225">
        <v>2.3913404389547425E-2</v>
      </c>
      <c r="J97" s="225">
        <v>0.39030082429653307</v>
      </c>
      <c r="K97" s="224">
        <v>2.4414306327923612</v>
      </c>
      <c r="L97" s="223">
        <f>1/K97</f>
        <v>0.40959590928711348</v>
      </c>
      <c r="M97" s="222">
        <f>VLOOKUP(B97,'[1]Industry Averages'!$A$9:$E$104,5,0)</f>
        <v>9.9366887233555121E-2</v>
      </c>
    </row>
    <row r="98" spans="2:13">
      <c r="B98" s="228" t="s">
        <v>319</v>
      </c>
      <c r="C98" s="227">
        <v>0</v>
      </c>
      <c r="D98" s="226">
        <v>0</v>
      </c>
      <c r="E98" s="226">
        <v>0</v>
      </c>
      <c r="F98" s="225" t="s">
        <v>318</v>
      </c>
      <c r="G98" s="226">
        <v>0</v>
      </c>
      <c r="H98" s="226">
        <v>0</v>
      </c>
      <c r="I98" s="225" t="s">
        <v>318</v>
      </c>
      <c r="J98" s="225" t="s">
        <v>318</v>
      </c>
      <c r="K98" s="224" t="s">
        <v>318</v>
      </c>
      <c r="L98" s="223" t="e">
        <f>1/K98</f>
        <v>#VALUE!</v>
      </c>
      <c r="M98" s="222" t="str">
        <f>VLOOKUP(B98,'[1]Industry Averages'!$A$9:$E$104,5,0)</f>
        <v>NA</v>
      </c>
    </row>
    <row r="99" spans="2:13" ht="15" thickBot="1">
      <c r="B99" s="221" t="s">
        <v>317</v>
      </c>
      <c r="C99" s="220">
        <v>1</v>
      </c>
      <c r="D99" s="219">
        <v>0.33100000000000002</v>
      </c>
      <c r="E99" s="219">
        <v>1.1499999999999999</v>
      </c>
      <c r="F99" s="218">
        <v>0.28782608695652179</v>
      </c>
      <c r="G99" s="219">
        <v>0</v>
      </c>
      <c r="H99" s="219">
        <v>1.2620000000000005</v>
      </c>
      <c r="I99" s="218">
        <v>1.1937483158178401E-3</v>
      </c>
      <c r="J99" s="218">
        <v>2.1168747151279928E-2</v>
      </c>
      <c r="K99" s="217">
        <v>1.5152257527131978</v>
      </c>
      <c r="L99" s="216">
        <f>1/K99</f>
        <v>0.65996766370250581</v>
      </c>
      <c r="M99" s="215">
        <f>VLOOKUP(B99,'[1]Industry Averages'!$A$9:$E$104,5,0)</f>
        <v>0.15376352282718506</v>
      </c>
    </row>
    <row r="100" spans="2:13">
      <c r="B100" s="214" t="s">
        <v>316</v>
      </c>
      <c r="C100" s="213">
        <v>4149</v>
      </c>
      <c r="D100" s="212">
        <v>91128.195999999996</v>
      </c>
      <c r="E100" s="212">
        <v>56787.84999999978</v>
      </c>
      <c r="F100" s="211">
        <v>1.6047129095396349</v>
      </c>
      <c r="G100" s="212">
        <v>7200.6379999999963</v>
      </c>
      <c r="H100" s="212">
        <v>290.68879999994533</v>
      </c>
      <c r="I100" s="211">
        <v>2.4042222648084761E-2</v>
      </c>
      <c r="J100" s="211">
        <v>0.35915811387293384</v>
      </c>
      <c r="K100" s="210">
        <v>0.92986384073918371</v>
      </c>
      <c r="L100" s="209">
        <f>1/K100</f>
        <v>1.0754262680061442</v>
      </c>
      <c r="M100" s="208">
        <f>VLOOKUP(B100,'[1]Industry Averages'!$A$9:$E$104,5,0)</f>
        <v>4.5696556435610526E-2</v>
      </c>
    </row>
    <row r="101" spans="2:13" ht="15" thickBot="1">
      <c r="B101" s="207" t="s">
        <v>315</v>
      </c>
      <c r="C101" s="206">
        <v>3577</v>
      </c>
      <c r="D101" s="205">
        <v>87192.377000000008</v>
      </c>
      <c r="E101" s="205">
        <v>57704.895999999782</v>
      </c>
      <c r="F101" s="204">
        <v>1.5110048374404892</v>
      </c>
      <c r="G101" s="205">
        <v>6627.3379999999952</v>
      </c>
      <c r="H101" s="205">
        <v>288.54959999994026</v>
      </c>
      <c r="I101" s="204">
        <v>2.5165026512248102E-2</v>
      </c>
      <c r="J101" s="204">
        <v>0.32789454018099928</v>
      </c>
      <c r="K101" s="203">
        <v>1.2945771705117866</v>
      </c>
      <c r="L101" s="202">
        <f>1/K101</f>
        <v>0.77245298525129169</v>
      </c>
      <c r="M101" s="201">
        <f>VLOOKUP(B101,'[1]Industry Averages'!$A$9:$E$104,5,0)</f>
        <v>7.0760858358327683E-2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B919-65A9-485F-BC5F-8DB039FC95CF}">
  <dimension ref="B4:J47"/>
  <sheetViews>
    <sheetView showGridLines="0" topLeftCell="A19" zoomScaleNormal="100" workbookViewId="0">
      <selection activeCell="N33" sqref="N33"/>
    </sheetView>
  </sheetViews>
  <sheetFormatPr defaultRowHeight="14.4"/>
  <cols>
    <col min="1" max="1" width="1.88671875" customWidth="1"/>
    <col min="2" max="2" width="36.88671875" bestFit="1" customWidth="1"/>
    <col min="3" max="3" width="10.77734375" style="65" customWidth="1"/>
    <col min="4" max="4" width="20.33203125" style="65" bestFit="1" customWidth="1"/>
    <col min="5" max="5" width="11.33203125" style="65" bestFit="1" customWidth="1"/>
    <col min="6" max="10" width="10.77734375" style="65" customWidth="1"/>
  </cols>
  <sheetData>
    <row r="4" spans="2:10">
      <c r="B4" s="131" t="s">
        <v>247</v>
      </c>
      <c r="C4" s="149"/>
      <c r="D4" s="149"/>
      <c r="E4" s="149"/>
      <c r="F4" s="149"/>
      <c r="G4" s="149"/>
      <c r="H4" s="149"/>
      <c r="I4" s="149"/>
      <c r="J4" s="149"/>
    </row>
    <row r="6" spans="2:10">
      <c r="B6" t="s">
        <v>248</v>
      </c>
    </row>
    <row r="8" spans="2:10">
      <c r="B8" s="101" t="s">
        <v>249</v>
      </c>
    </row>
    <row r="9" spans="2:10">
      <c r="B9" s="148"/>
      <c r="C9" s="150"/>
      <c r="D9" s="150"/>
      <c r="E9" s="150"/>
      <c r="F9" s="150"/>
      <c r="G9" s="151" t="s">
        <v>254</v>
      </c>
      <c r="H9" s="151" t="s">
        <v>254</v>
      </c>
      <c r="I9" s="151" t="s">
        <v>257</v>
      </c>
      <c r="J9" s="151" t="s">
        <v>258</v>
      </c>
    </row>
    <row r="10" spans="2:10" ht="16.2">
      <c r="B10" t="s">
        <v>250</v>
      </c>
      <c r="C10" s="65" t="s">
        <v>251</v>
      </c>
      <c r="D10" s="65" t="s">
        <v>252</v>
      </c>
      <c r="E10" s="65" t="s">
        <v>253</v>
      </c>
      <c r="F10" s="65" t="s">
        <v>259</v>
      </c>
      <c r="G10" s="65" t="s">
        <v>255</v>
      </c>
      <c r="H10" s="65" t="s">
        <v>256</v>
      </c>
      <c r="I10" s="65" t="s">
        <v>260</v>
      </c>
      <c r="J10" s="65" t="s">
        <v>261</v>
      </c>
    </row>
    <row r="11" spans="2:10" ht="11.4" customHeight="1">
      <c r="B11" s="152"/>
      <c r="C11" s="153"/>
      <c r="D11" s="153"/>
      <c r="E11" s="153"/>
      <c r="F11" s="153"/>
      <c r="G11" s="153"/>
      <c r="H11" s="153"/>
      <c r="I11" s="153"/>
      <c r="J11" s="153"/>
    </row>
    <row r="13" spans="2:10">
      <c r="B13" s="154" t="s">
        <v>237</v>
      </c>
      <c r="C13" s="155" t="s">
        <v>262</v>
      </c>
      <c r="D13" s="157">
        <v>402962</v>
      </c>
      <c r="E13" s="157">
        <v>1659361</v>
      </c>
      <c r="F13" s="156">
        <v>0.3</v>
      </c>
      <c r="G13" s="87">
        <f>D13/E13</f>
        <v>0.2428416721858595</v>
      </c>
      <c r="H13" s="87">
        <f>D13/(E13+D13)</f>
        <v>0.19539228336201458</v>
      </c>
      <c r="I13" s="168">
        <f>'Beta regressionRL'!K19</f>
        <v>0.91951686035112457</v>
      </c>
      <c r="J13" s="168">
        <f>I13/(1+(1-F13)*G13)</f>
        <v>0.7859191208876809</v>
      </c>
    </row>
    <row r="14" spans="2:10">
      <c r="B14" s="154" t="s">
        <v>273</v>
      </c>
      <c r="C14" s="155" t="s">
        <v>262</v>
      </c>
      <c r="D14" s="157">
        <v>131822.39000000001</v>
      </c>
      <c r="E14" s="157">
        <v>192288.42</v>
      </c>
      <c r="F14" s="156">
        <v>0.3</v>
      </c>
      <c r="G14" s="87">
        <f t="shared" ref="G14:G15" si="0">D14/E14</f>
        <v>0.68554513059080735</v>
      </c>
      <c r="H14" s="87">
        <f>D14/(E14+D14)</f>
        <v>0.40672012760080417</v>
      </c>
      <c r="I14" s="168">
        <f>'Beta regressionRL'!K76</f>
        <v>1.2409791489379931</v>
      </c>
      <c r="J14" s="168">
        <f t="shared" ref="J14:J15" si="1">I14/(1+(1-F14)*G14)</f>
        <v>0.83856651514438041</v>
      </c>
    </row>
    <row r="15" spans="2:10">
      <c r="B15" s="154" t="s">
        <v>276</v>
      </c>
      <c r="C15" s="155" t="s">
        <v>262</v>
      </c>
      <c r="D15" s="157">
        <v>54424.42</v>
      </c>
      <c r="E15" s="157">
        <v>133495.13</v>
      </c>
      <c r="F15" s="156">
        <v>0.3</v>
      </c>
      <c r="G15" s="87">
        <f t="shared" si="0"/>
        <v>0.40768843028206342</v>
      </c>
      <c r="H15" s="87">
        <f>D15/(E15+D15)</f>
        <v>0.28961552962424614</v>
      </c>
      <c r="I15" s="168">
        <f>'Beta regressionRL'!K133</f>
        <v>1.3469829743113353</v>
      </c>
      <c r="J15" s="168">
        <f t="shared" si="1"/>
        <v>1.0479243352162531</v>
      </c>
    </row>
    <row r="16" spans="2:10">
      <c r="B16" s="154"/>
      <c r="C16" s="155"/>
      <c r="D16" s="157"/>
      <c r="E16" s="157"/>
      <c r="F16" s="156"/>
    </row>
    <row r="17" spans="2:10">
      <c r="E17" s="173" t="s">
        <v>286</v>
      </c>
      <c r="F17" s="169">
        <f>AVERAGE(F13:F15)</f>
        <v>0.3</v>
      </c>
      <c r="G17" s="169">
        <f>AVERAGE(G13:G15)</f>
        <v>0.44535841101957674</v>
      </c>
      <c r="H17" s="169">
        <f>AVERAGE(H13:H15)</f>
        <v>0.29724264686235496</v>
      </c>
      <c r="I17" s="170">
        <f>AVERAGE(I13:I15)</f>
        <v>1.1691596612001509</v>
      </c>
      <c r="J17" s="170">
        <f>AVERAGE(J13:J15)</f>
        <v>0.89080332374943805</v>
      </c>
    </row>
    <row r="18" spans="2:10">
      <c r="E18" s="161" t="s">
        <v>117</v>
      </c>
      <c r="F18" s="171">
        <f>MEDIAN(F13:F15)</f>
        <v>0.3</v>
      </c>
      <c r="G18" s="171">
        <f>MEDIAN(G13:G15)</f>
        <v>0.40768843028206342</v>
      </c>
      <c r="H18" s="171">
        <f>MEDIAN(H13:H15)</f>
        <v>0.28961552962424614</v>
      </c>
      <c r="I18" s="172">
        <f>MEDIAN(I13:I15)</f>
        <v>1.2409791489379931</v>
      </c>
      <c r="J18" s="172">
        <f>MEDIAN(J13:J15)</f>
        <v>0.83856651514438041</v>
      </c>
    </row>
    <row r="22" spans="2:10">
      <c r="B22" s="182" t="s">
        <v>287</v>
      </c>
      <c r="C22" s="179"/>
      <c r="D22" s="179"/>
      <c r="E22" s="179"/>
      <c r="G22" s="182" t="s">
        <v>291</v>
      </c>
      <c r="H22" s="179"/>
      <c r="I22" s="179"/>
      <c r="J22" s="179"/>
    </row>
    <row r="23" spans="2:10">
      <c r="B23" s="148"/>
      <c r="C23" s="148"/>
      <c r="D23" s="148"/>
      <c r="E23" s="148"/>
      <c r="G23"/>
    </row>
    <row r="24" spans="2:10">
      <c r="B24" t="s">
        <v>288</v>
      </c>
      <c r="E24" s="87">
        <f>HistoricalFS!L43/HistoricalFS!L70</f>
        <v>6.7155215628272646E-2</v>
      </c>
      <c r="G24" t="s">
        <v>292</v>
      </c>
      <c r="J24" s="86">
        <v>7.1099999999999997E-2</v>
      </c>
    </row>
    <row r="25" spans="2:10">
      <c r="B25" t="s">
        <v>290</v>
      </c>
      <c r="E25" s="86">
        <f>F17</f>
        <v>0.3</v>
      </c>
      <c r="G25" t="s">
        <v>293</v>
      </c>
      <c r="J25" s="86">
        <f>'AVG Return'!I8-WACC!J24</f>
        <v>9.3392307692307663E-2</v>
      </c>
    </row>
    <row r="26" spans="2:10" ht="16.8" thickBot="1">
      <c r="B26" s="185" t="s">
        <v>289</v>
      </c>
      <c r="C26" s="188"/>
      <c r="D26" s="188"/>
      <c r="E26" s="187">
        <f>E24*(1-E25)</f>
        <v>4.7008650939790848E-2</v>
      </c>
      <c r="G26" t="s">
        <v>304</v>
      </c>
      <c r="J26" s="168">
        <f>J35</f>
        <v>1.0778782215167992</v>
      </c>
    </row>
    <row r="27" spans="2:10" ht="15" thickBot="1">
      <c r="G27" s="185" t="s">
        <v>291</v>
      </c>
      <c r="H27" s="188"/>
      <c r="I27" s="188"/>
      <c r="J27" s="189">
        <f>J24+(J26*J25)</f>
        <v>0.17176553451873428</v>
      </c>
    </row>
    <row r="28" spans="2:10">
      <c r="G28"/>
    </row>
    <row r="29" spans="2:10">
      <c r="G29"/>
    </row>
    <row r="30" spans="2:10">
      <c r="B30" s="182" t="s">
        <v>295</v>
      </c>
      <c r="C30" s="179"/>
      <c r="D30" s="179"/>
      <c r="E30" s="179"/>
      <c r="G30" s="183" t="s">
        <v>297</v>
      </c>
      <c r="H30" s="179"/>
      <c r="I30" s="179"/>
      <c r="J30" s="179"/>
    </row>
    <row r="31" spans="2:10">
      <c r="G31"/>
    </row>
    <row r="32" spans="2:10">
      <c r="D32" s="166" t="s">
        <v>302</v>
      </c>
      <c r="E32" s="166" t="s">
        <v>301</v>
      </c>
      <c r="G32" t="s">
        <v>298</v>
      </c>
      <c r="J32" s="168">
        <f>J18</f>
        <v>0.83856651514438041</v>
      </c>
    </row>
    <row r="33" spans="2:10">
      <c r="B33" t="s">
        <v>252</v>
      </c>
      <c r="C33" s="174">
        <f>D13</f>
        <v>402962</v>
      </c>
      <c r="D33" s="175">
        <f>C33/$C$35</f>
        <v>0.19539228336201458</v>
      </c>
      <c r="E33" s="169">
        <f>H18</f>
        <v>0.28961552962424614</v>
      </c>
      <c r="G33" t="s">
        <v>299</v>
      </c>
      <c r="J33" s="86">
        <f>E37</f>
        <v>0.40768843028206353</v>
      </c>
    </row>
    <row r="34" spans="2:10">
      <c r="B34" t="s">
        <v>9</v>
      </c>
      <c r="C34" s="174">
        <f>E13</f>
        <v>1659361</v>
      </c>
      <c r="D34" s="87">
        <f>C34/$C$35</f>
        <v>0.80460771663798547</v>
      </c>
      <c r="E34" s="86">
        <f>E35-E33</f>
        <v>0.71038447037575381</v>
      </c>
      <c r="G34" t="s">
        <v>300</v>
      </c>
      <c r="J34" s="86">
        <f>F17</f>
        <v>0.3</v>
      </c>
    </row>
    <row r="35" spans="2:10" ht="15" thickBot="1">
      <c r="B35" s="185" t="s">
        <v>296</v>
      </c>
      <c r="C35" s="186">
        <f>SUM(C33:C34)</f>
        <v>2062323</v>
      </c>
      <c r="D35" s="187">
        <f>SUM(D33:D34)</f>
        <v>1</v>
      </c>
      <c r="E35" s="187">
        <f>D35</f>
        <v>1</v>
      </c>
      <c r="G35" s="190" t="s">
        <v>294</v>
      </c>
      <c r="H35" s="191"/>
      <c r="I35" s="191"/>
      <c r="J35" s="192">
        <f>J32*(1+(1-J34)*J33)</f>
        <v>1.0778782215167992</v>
      </c>
    </row>
    <row r="37" spans="2:10">
      <c r="B37" s="152" t="s">
        <v>303</v>
      </c>
      <c r="C37" s="153"/>
      <c r="D37" s="171">
        <f>D33/D34</f>
        <v>0.24284167218585948</v>
      </c>
      <c r="E37" s="171">
        <f>E33/E34</f>
        <v>0.40768843028206353</v>
      </c>
    </row>
    <row r="39" spans="2:10">
      <c r="G39" s="182" t="s">
        <v>309</v>
      </c>
      <c r="H39" s="179"/>
      <c r="I39" s="179"/>
      <c r="J39" s="179"/>
    </row>
    <row r="41" spans="2:10">
      <c r="G41" t="s">
        <v>310</v>
      </c>
      <c r="J41" s="86">
        <f>J27</f>
        <v>0.17176553451873428</v>
      </c>
    </row>
    <row r="42" spans="2:10">
      <c r="G42" t="s">
        <v>311</v>
      </c>
      <c r="J42" s="86">
        <f>E34</f>
        <v>0.71038447037575381</v>
      </c>
    </row>
    <row r="43" spans="2:10">
      <c r="G43"/>
    </row>
    <row r="44" spans="2:10">
      <c r="G44" t="s">
        <v>312</v>
      </c>
      <c r="J44" s="86">
        <f>E26</f>
        <v>4.7008650939790848E-2</v>
      </c>
    </row>
    <row r="45" spans="2:10">
      <c r="G45" t="s">
        <v>313</v>
      </c>
      <c r="J45" s="86">
        <f>E33</f>
        <v>0.28961552962424614</v>
      </c>
    </row>
    <row r="47" spans="2:10" ht="15" thickBot="1">
      <c r="G47" s="184" t="s">
        <v>314</v>
      </c>
      <c r="H47" s="180"/>
      <c r="I47" s="180"/>
      <c r="J47" s="181">
        <f>(J41*J42)+(J44*J45)</f>
        <v>0.13563400360674815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57D6-4F2E-4650-B29D-3849ACA9D132}">
  <dimension ref="B4:H10"/>
  <sheetViews>
    <sheetView workbookViewId="0">
      <selection activeCell="I16" sqref="I16"/>
    </sheetView>
  </sheetViews>
  <sheetFormatPr defaultRowHeight="14.4"/>
  <sheetData>
    <row r="4" spans="2:8">
      <c r="B4" t="s">
        <v>243</v>
      </c>
      <c r="C4" t="s">
        <v>235</v>
      </c>
      <c r="D4" t="s">
        <v>244</v>
      </c>
      <c r="E4" t="s">
        <v>245</v>
      </c>
      <c r="F4" t="s">
        <v>246</v>
      </c>
      <c r="G4" t="s">
        <v>236</v>
      </c>
      <c r="H4" s="147"/>
    </row>
    <row r="5" spans="2:8">
      <c r="B5">
        <v>1</v>
      </c>
      <c r="C5" t="s">
        <v>237</v>
      </c>
      <c r="D5">
        <v>1226</v>
      </c>
      <c r="E5">
        <v>402962</v>
      </c>
      <c r="F5">
        <v>1659361</v>
      </c>
      <c r="G5">
        <v>0.45</v>
      </c>
      <c r="H5" s="147"/>
    </row>
    <row r="6" spans="2:8">
      <c r="B6">
        <v>2</v>
      </c>
      <c r="C6" t="s">
        <v>238</v>
      </c>
      <c r="D6">
        <v>135.69999999999999</v>
      </c>
      <c r="E6">
        <v>131822.39000000001</v>
      </c>
      <c r="F6">
        <v>192288.42</v>
      </c>
      <c r="G6">
        <v>0.6</v>
      </c>
      <c r="H6" s="147"/>
    </row>
    <row r="7" spans="2:8">
      <c r="B7">
        <v>3</v>
      </c>
      <c r="C7" t="s">
        <v>239</v>
      </c>
      <c r="D7">
        <v>308.5</v>
      </c>
      <c r="E7">
        <v>54424.42</v>
      </c>
      <c r="F7">
        <v>133495.13</v>
      </c>
      <c r="G7">
        <v>0.54</v>
      </c>
      <c r="H7" s="147"/>
    </row>
    <row r="8" spans="2:8">
      <c r="B8">
        <v>4</v>
      </c>
      <c r="C8" t="s">
        <v>240</v>
      </c>
      <c r="D8">
        <v>351</v>
      </c>
      <c r="E8">
        <v>55964.43</v>
      </c>
      <c r="F8">
        <v>74569.52</v>
      </c>
      <c r="G8">
        <v>0.85</v>
      </c>
      <c r="H8" s="147"/>
    </row>
    <row r="9" spans="2:8">
      <c r="B9">
        <v>5</v>
      </c>
      <c r="C9" t="s">
        <v>241</v>
      </c>
      <c r="D9">
        <v>164.6</v>
      </c>
      <c r="E9">
        <v>15341.03</v>
      </c>
      <c r="F9">
        <v>28872.35</v>
      </c>
      <c r="G9">
        <v>1.08</v>
      </c>
      <c r="H9" s="147"/>
    </row>
    <row r="10" spans="2:8">
      <c r="B10">
        <v>6</v>
      </c>
      <c r="C10" t="s">
        <v>242</v>
      </c>
      <c r="D10">
        <v>1376.4</v>
      </c>
      <c r="E10">
        <v>1964.16</v>
      </c>
      <c r="F10">
        <v>20486.47</v>
      </c>
      <c r="G10">
        <v>0.18</v>
      </c>
      <c r="H10" s="14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B9A9-114B-4790-BE33-592FCA5D0C99}">
  <dimension ref="B4:R286"/>
  <sheetViews>
    <sheetView showGridLines="0" topLeftCell="A7" workbookViewId="0">
      <selection activeCell="M12" sqref="M12"/>
    </sheetView>
  </sheetViews>
  <sheetFormatPr defaultRowHeight="14.4" outlineLevelRow="1"/>
  <cols>
    <col min="1" max="1" width="1.88671875" customWidth="1"/>
    <col min="2" max="2" width="10.33203125" style="77" bestFit="1" customWidth="1"/>
    <col min="3" max="3" width="11.5546875" style="65" customWidth="1"/>
    <col min="4" max="4" width="9" style="65" bestFit="1" customWidth="1"/>
    <col min="6" max="6" width="12.44140625" style="77" customWidth="1"/>
    <col min="7" max="7" width="11.44140625" bestFit="1" customWidth="1"/>
    <col min="10" max="10" width="22" bestFit="1" customWidth="1"/>
    <col min="11" max="11" width="12.6640625" bestFit="1" customWidth="1"/>
    <col min="12" max="12" width="13.21875" bestFit="1" customWidth="1"/>
    <col min="13" max="13" width="12.6640625" bestFit="1" customWidth="1"/>
    <col min="14" max="14" width="12" bestFit="1" customWidth="1"/>
    <col min="15" max="15" width="12.77734375" bestFit="1" customWidth="1"/>
    <col min="16" max="16" width="12" bestFit="1" customWidth="1"/>
    <col min="17" max="17" width="12.6640625" bestFit="1" customWidth="1"/>
    <col min="18" max="18" width="12" bestFit="1" customWidth="1"/>
    <col min="19" max="19" width="9.21875" customWidth="1"/>
  </cols>
  <sheetData>
    <row r="4" spans="2:11">
      <c r="B4" s="198" t="s">
        <v>266</v>
      </c>
      <c r="C4" s="198"/>
      <c r="D4" s="198"/>
      <c r="F4" s="198" t="s">
        <v>267</v>
      </c>
      <c r="G4" s="198"/>
      <c r="H4" s="198"/>
      <c r="J4" s="198" t="s">
        <v>268</v>
      </c>
      <c r="K4" s="198"/>
    </row>
    <row r="5" spans="2:11" outlineLevel="1"/>
    <row r="6" spans="2:11" outlineLevel="1">
      <c r="B6" s="161" t="s">
        <v>263</v>
      </c>
      <c r="C6" s="162" t="s">
        <v>264</v>
      </c>
      <c r="D6" s="162" t="s">
        <v>265</v>
      </c>
      <c r="F6" s="161" t="s">
        <v>263</v>
      </c>
      <c r="G6" s="162" t="s">
        <v>264</v>
      </c>
      <c r="H6" s="162" t="s">
        <v>265</v>
      </c>
    </row>
    <row r="7" spans="2:11" outlineLevel="1">
      <c r="B7" s="159">
        <v>45928</v>
      </c>
      <c r="C7" s="160">
        <v>1363.4</v>
      </c>
      <c r="D7" s="160"/>
      <c r="F7" s="159">
        <v>45928</v>
      </c>
      <c r="G7" s="160">
        <v>24894.25</v>
      </c>
      <c r="H7" s="160"/>
      <c r="I7" s="53"/>
      <c r="J7" s="163" t="s">
        <v>269</v>
      </c>
      <c r="K7" s="164">
        <f>SLOPE(D8:D58,H8:H58)</f>
        <v>0.89268914713483249</v>
      </c>
    </row>
    <row r="8" spans="2:11" outlineLevel="1">
      <c r="B8" s="159">
        <v>45935</v>
      </c>
      <c r="C8" s="160">
        <v>1381.7</v>
      </c>
      <c r="D8" s="87">
        <f>C8/C7-1</f>
        <v>1.3422326536599583E-2</v>
      </c>
      <c r="F8" s="159">
        <v>45935</v>
      </c>
      <c r="G8" s="160">
        <v>25285.35</v>
      </c>
      <c r="H8" s="87">
        <f>G8/G7-1</f>
        <v>1.5710455225604214E-2</v>
      </c>
      <c r="I8" s="53"/>
      <c r="J8" s="163" t="s">
        <v>270</v>
      </c>
      <c r="K8" s="163" cm="1">
        <f t="array" ref="K8">_xlfn.COVARIANCE.S(D8:D58,H8:H58/_xlfn.VAR.S(H8:H58))</f>
        <v>0.89268914713483238</v>
      </c>
    </row>
    <row r="9" spans="2:11" outlineLevel="1">
      <c r="B9" s="159">
        <v>45942</v>
      </c>
      <c r="C9" s="160">
        <v>1416.8</v>
      </c>
      <c r="D9" s="87">
        <f t="shared" ref="D9:D58" si="0">C9/C8-1</f>
        <v>2.5403488456249512E-2</v>
      </c>
      <c r="F9" s="159">
        <v>45942</v>
      </c>
      <c r="G9" s="160">
        <v>25709.85</v>
      </c>
      <c r="H9" s="87">
        <f t="shared" ref="H9:H58" si="1">G9/G8-1</f>
        <v>1.6788377459675319E-2</v>
      </c>
      <c r="I9" s="53"/>
      <c r="J9" s="144" t="s">
        <v>271</v>
      </c>
      <c r="K9" s="163">
        <f>K38</f>
        <v>0.89268914713483283</v>
      </c>
    </row>
    <row r="10" spans="2:11" outlineLevel="1">
      <c r="B10" s="159">
        <v>45949</v>
      </c>
      <c r="C10" s="160">
        <v>1451.6</v>
      </c>
      <c r="D10" s="87">
        <f t="shared" si="0"/>
        <v>2.4562394127611409E-2</v>
      </c>
      <c r="F10" s="159">
        <v>45949</v>
      </c>
      <c r="G10" s="160">
        <v>25795.15</v>
      </c>
      <c r="H10" s="87">
        <f t="shared" si="1"/>
        <v>3.3177945417808274E-3</v>
      </c>
      <c r="I10" s="53"/>
      <c r="J10" s="158"/>
    </row>
    <row r="11" spans="2:11" outlineLevel="1">
      <c r="B11" s="159">
        <v>45956</v>
      </c>
      <c r="C11" s="160">
        <v>1486.4</v>
      </c>
      <c r="D11" s="87">
        <f t="shared" si="0"/>
        <v>2.3973546431524051E-2</v>
      </c>
      <c r="F11" s="159">
        <v>45956</v>
      </c>
      <c r="G11" s="160">
        <v>25722.1</v>
      </c>
      <c r="H11" s="87">
        <f t="shared" si="1"/>
        <v>-2.8319277073404203E-3</v>
      </c>
      <c r="I11" s="53"/>
      <c r="J11" s="198" t="s">
        <v>279</v>
      </c>
      <c r="K11" s="198"/>
    </row>
    <row r="12" spans="2:11" outlineLevel="1">
      <c r="B12" s="159">
        <v>45963</v>
      </c>
      <c r="C12" s="160">
        <v>1478</v>
      </c>
      <c r="D12" s="87">
        <f t="shared" si="0"/>
        <v>-5.6512378902046079E-3</v>
      </c>
      <c r="F12" s="159">
        <v>45963</v>
      </c>
      <c r="G12" s="160">
        <v>25492.3</v>
      </c>
      <c r="H12" s="87">
        <f t="shared" si="1"/>
        <v>-8.9339517379996014E-3</v>
      </c>
      <c r="I12" s="53"/>
      <c r="J12" s="158"/>
    </row>
    <row r="13" spans="2:11" outlineLevel="1">
      <c r="B13" s="159">
        <v>45970</v>
      </c>
      <c r="C13" s="160">
        <v>1518.9</v>
      </c>
      <c r="D13" s="87">
        <f t="shared" si="0"/>
        <v>2.7672530446549493E-2</v>
      </c>
      <c r="F13" s="159">
        <v>45970</v>
      </c>
      <c r="G13" s="160">
        <v>25910.05</v>
      </c>
      <c r="H13" s="87">
        <f t="shared" si="1"/>
        <v>1.6387301263518728E-2</v>
      </c>
      <c r="I13" s="53"/>
      <c r="J13" t="s">
        <v>280</v>
      </c>
      <c r="K13" s="158">
        <f>K9</f>
        <v>0.89268914713483283</v>
      </c>
    </row>
    <row r="14" spans="2:11" outlineLevel="1">
      <c r="B14" s="159">
        <v>45977</v>
      </c>
      <c r="C14" s="160">
        <v>1546.6</v>
      </c>
      <c r="D14" s="87">
        <f t="shared" si="0"/>
        <v>1.8236881954045492E-2</v>
      </c>
      <c r="F14" s="159">
        <v>45977</v>
      </c>
      <c r="G14" s="160">
        <v>26068.15</v>
      </c>
      <c r="H14" s="87">
        <f t="shared" si="1"/>
        <v>6.1018793865701415E-3</v>
      </c>
      <c r="I14" s="53"/>
      <c r="J14" t="s">
        <v>281</v>
      </c>
      <c r="K14" s="53">
        <v>0.75</v>
      </c>
    </row>
    <row r="15" spans="2:11" outlineLevel="1">
      <c r="B15" s="159">
        <v>45984</v>
      </c>
      <c r="C15" s="160">
        <v>1567.5</v>
      </c>
      <c r="D15" s="87">
        <f t="shared" si="0"/>
        <v>1.3513513513513598E-2</v>
      </c>
      <c r="F15" s="159">
        <v>45984</v>
      </c>
      <c r="G15" s="160">
        <v>26202.95</v>
      </c>
      <c r="H15" s="87">
        <f t="shared" si="1"/>
        <v>5.1710612375637233E-3</v>
      </c>
      <c r="I15" s="53"/>
    </row>
    <row r="16" spans="2:11" outlineLevel="1">
      <c r="B16" s="159">
        <v>45991</v>
      </c>
      <c r="C16" s="160">
        <v>1540.6</v>
      </c>
      <c r="D16" s="87">
        <f t="shared" si="0"/>
        <v>-1.7161084529505599E-2</v>
      </c>
      <c r="F16" s="159">
        <v>45991</v>
      </c>
      <c r="G16" s="160">
        <v>26186.45</v>
      </c>
      <c r="H16" s="87">
        <f t="shared" si="1"/>
        <v>-6.297000910202577E-4</v>
      </c>
      <c r="I16" s="53"/>
      <c r="J16" t="s">
        <v>282</v>
      </c>
      <c r="K16" s="167">
        <v>1</v>
      </c>
    </row>
    <row r="17" spans="2:15" outlineLevel="1">
      <c r="B17" s="159">
        <v>45998</v>
      </c>
      <c r="C17" s="160">
        <v>1556.5</v>
      </c>
      <c r="D17" s="87">
        <f t="shared" si="0"/>
        <v>1.0320654290536302E-2</v>
      </c>
      <c r="F17" s="159">
        <v>45998</v>
      </c>
      <c r="G17" s="160">
        <v>26046.95</v>
      </c>
      <c r="H17" s="87">
        <f t="shared" si="1"/>
        <v>-5.3271825696113995E-3</v>
      </c>
      <c r="I17" s="53"/>
      <c r="J17" t="s">
        <v>283</v>
      </c>
      <c r="K17" s="53">
        <v>0.25</v>
      </c>
    </row>
    <row r="18" spans="2:15" outlineLevel="1">
      <c r="B18" s="159">
        <v>46005</v>
      </c>
      <c r="C18" s="160">
        <v>1565.1</v>
      </c>
      <c r="D18" s="87">
        <f t="shared" si="0"/>
        <v>5.5252168326371809E-3</v>
      </c>
      <c r="F18" s="159">
        <v>46005</v>
      </c>
      <c r="G18" s="160">
        <v>25966.400000000001</v>
      </c>
      <c r="H18" s="87">
        <f t="shared" si="1"/>
        <v>-3.0924925951022475E-3</v>
      </c>
      <c r="I18" s="53"/>
    </row>
    <row r="19" spans="2:15" outlineLevel="1">
      <c r="B19" s="159">
        <v>46012</v>
      </c>
      <c r="C19" s="160">
        <v>1559.2</v>
      </c>
      <c r="D19" s="87">
        <f t="shared" si="0"/>
        <v>-3.7697271739823845E-3</v>
      </c>
      <c r="F19" s="159">
        <v>46012</v>
      </c>
      <c r="G19" s="160">
        <v>26042.3</v>
      </c>
      <c r="H19" s="87">
        <f t="shared" si="1"/>
        <v>2.9230081952060782E-3</v>
      </c>
      <c r="I19" s="53"/>
      <c r="J19" s="144" t="s">
        <v>284</v>
      </c>
      <c r="K19" s="164">
        <f>(K13*K14)+(K16*K17)</f>
        <v>0.91951686035112457</v>
      </c>
    </row>
    <row r="20" spans="2:15" outlineLevel="1">
      <c r="B20" s="159">
        <v>46019</v>
      </c>
      <c r="C20" s="160">
        <v>1592.3</v>
      </c>
      <c r="D20" s="87">
        <f t="shared" si="0"/>
        <v>2.1228835300153959E-2</v>
      </c>
      <c r="F20" s="159">
        <v>46019</v>
      </c>
      <c r="G20" s="160">
        <v>26328.55</v>
      </c>
      <c r="H20" s="87">
        <f t="shared" si="1"/>
        <v>1.0991732681061128E-2</v>
      </c>
      <c r="I20" s="53"/>
    </row>
    <row r="21" spans="2:15" outlineLevel="1">
      <c r="B21" s="159">
        <v>46026</v>
      </c>
      <c r="C21" s="160">
        <v>1475.3</v>
      </c>
      <c r="D21" s="87">
        <f t="shared" si="0"/>
        <v>-7.3478615838723838E-2</v>
      </c>
      <c r="F21" s="159">
        <v>46026</v>
      </c>
      <c r="G21" s="160">
        <v>25683.3</v>
      </c>
      <c r="H21" s="87">
        <f t="shared" si="1"/>
        <v>-2.4507616256877029E-2</v>
      </c>
      <c r="I21" s="53"/>
      <c r="J21" t="s">
        <v>119</v>
      </c>
    </row>
    <row r="22" spans="2:15" ht="15" outlineLevel="1" thickBot="1">
      <c r="B22" s="159">
        <v>46033</v>
      </c>
      <c r="C22" s="160">
        <v>1457.9</v>
      </c>
      <c r="D22" s="87">
        <f t="shared" si="0"/>
        <v>-1.1794211346844663E-2</v>
      </c>
      <c r="F22" s="159">
        <v>46033</v>
      </c>
      <c r="G22" s="160">
        <v>25694.35</v>
      </c>
      <c r="H22" s="87">
        <f t="shared" si="1"/>
        <v>4.3024066222008273E-4</v>
      </c>
      <c r="I22" s="53"/>
    </row>
    <row r="23" spans="2:15" outlineLevel="1">
      <c r="B23" s="159">
        <v>46040</v>
      </c>
      <c r="C23" s="160">
        <v>1386.1</v>
      </c>
      <c r="D23" s="87">
        <f t="shared" si="0"/>
        <v>-4.9248919678990477E-2</v>
      </c>
      <c r="F23" s="159">
        <v>46040</v>
      </c>
      <c r="G23" s="160">
        <v>25048.65</v>
      </c>
      <c r="H23" s="87">
        <f t="shared" si="1"/>
        <v>-2.5130038315816394E-2</v>
      </c>
      <c r="I23" s="53"/>
      <c r="J23" s="70" t="s">
        <v>120</v>
      </c>
      <c r="K23" s="70"/>
    </row>
    <row r="24" spans="2:15" outlineLevel="1">
      <c r="B24" s="159">
        <v>46047</v>
      </c>
      <c r="C24" s="160">
        <v>1395.4</v>
      </c>
      <c r="D24" s="87">
        <f t="shared" si="0"/>
        <v>6.7094726210230604E-3</v>
      </c>
      <c r="F24" s="159">
        <v>46047</v>
      </c>
      <c r="G24" s="160">
        <v>25320.65</v>
      </c>
      <c r="H24" s="87">
        <f t="shared" si="1"/>
        <v>1.0858868641623332E-2</v>
      </c>
      <c r="I24" s="53"/>
      <c r="J24" t="s">
        <v>121</v>
      </c>
      <c r="K24">
        <v>0.5413600310881701</v>
      </c>
    </row>
    <row r="25" spans="2:15" outlineLevel="1">
      <c r="B25" s="159">
        <v>46054</v>
      </c>
      <c r="C25" s="160">
        <v>1450.8</v>
      </c>
      <c r="D25" s="87">
        <f t="shared" si="0"/>
        <v>3.9701877597821289E-2</v>
      </c>
      <c r="F25" s="159">
        <v>46054</v>
      </c>
      <c r="G25" s="160">
        <v>25693.7</v>
      </c>
      <c r="H25" s="87">
        <f t="shared" si="1"/>
        <v>1.4733034104574605E-2</v>
      </c>
      <c r="I25" s="53"/>
      <c r="J25" t="s">
        <v>122</v>
      </c>
      <c r="K25">
        <v>0.29307068325978453</v>
      </c>
    </row>
    <row r="26" spans="2:15" outlineLevel="1">
      <c r="B26" s="159">
        <v>46061</v>
      </c>
      <c r="C26" s="160">
        <v>1419.6</v>
      </c>
      <c r="D26" s="87">
        <f t="shared" si="0"/>
        <v>-2.1505376344086002E-2</v>
      </c>
      <c r="F26" s="159">
        <v>46061</v>
      </c>
      <c r="G26" s="160">
        <v>25471.1</v>
      </c>
      <c r="H26" s="87">
        <f t="shared" si="1"/>
        <v>-8.6636023616685209E-3</v>
      </c>
      <c r="I26" s="53"/>
      <c r="J26" t="s">
        <v>123</v>
      </c>
      <c r="K26">
        <v>0.27864355434671889</v>
      </c>
    </row>
    <row r="27" spans="2:15" outlineLevel="1">
      <c r="B27" s="159">
        <v>46068</v>
      </c>
      <c r="C27" s="160">
        <v>1419.4</v>
      </c>
      <c r="D27" s="87">
        <f t="shared" si="0"/>
        <v>-1.4088475626927721E-4</v>
      </c>
      <c r="F27" s="159">
        <v>46068</v>
      </c>
      <c r="G27" s="160">
        <v>25571.25</v>
      </c>
      <c r="H27" s="87">
        <f t="shared" si="1"/>
        <v>3.9319071418195684E-3</v>
      </c>
      <c r="I27" s="53"/>
      <c r="J27" t="s">
        <v>124</v>
      </c>
      <c r="K27">
        <v>2.3415769018163047E-2</v>
      </c>
    </row>
    <row r="28" spans="2:15" ht="15" outlineLevel="1" thickBot="1">
      <c r="B28" s="159">
        <v>46075</v>
      </c>
      <c r="C28" s="160">
        <v>1393.9</v>
      </c>
      <c r="D28" s="87">
        <f t="shared" si="0"/>
        <v>-1.7965337466535169E-2</v>
      </c>
      <c r="F28" s="159">
        <v>46075</v>
      </c>
      <c r="G28" s="160">
        <v>25178.65</v>
      </c>
      <c r="H28" s="87">
        <f t="shared" si="1"/>
        <v>-1.5353179840641329E-2</v>
      </c>
      <c r="I28" s="53"/>
      <c r="J28" s="68" t="s">
        <v>125</v>
      </c>
      <c r="K28" s="68">
        <v>51</v>
      </c>
    </row>
    <row r="29" spans="2:15" outlineLevel="1">
      <c r="B29" s="159">
        <v>46082</v>
      </c>
      <c r="C29" s="160">
        <v>1404.8</v>
      </c>
      <c r="D29" s="87">
        <f t="shared" si="0"/>
        <v>7.8197862113493777E-3</v>
      </c>
      <c r="F29" s="159">
        <v>46082</v>
      </c>
      <c r="G29" s="160">
        <v>24450.45</v>
      </c>
      <c r="H29" s="87">
        <f t="shared" si="1"/>
        <v>-2.892132818876314E-2</v>
      </c>
      <c r="I29" s="53"/>
    </row>
    <row r="30" spans="2:15" ht="15" outlineLevel="1" thickBot="1">
      <c r="B30" s="159">
        <v>46089</v>
      </c>
      <c r="C30" s="160">
        <v>1380.7</v>
      </c>
      <c r="D30" s="87">
        <f t="shared" si="0"/>
        <v>-1.7155466970387168E-2</v>
      </c>
      <c r="F30" s="159">
        <v>46089</v>
      </c>
      <c r="G30" s="160">
        <v>23151.1</v>
      </c>
      <c r="H30" s="87">
        <f t="shared" si="1"/>
        <v>-5.3142171207482991E-2</v>
      </c>
      <c r="I30" s="53"/>
      <c r="J30" t="s">
        <v>126</v>
      </c>
    </row>
    <row r="31" spans="2:15" outlineLevel="1">
      <c r="B31" s="159">
        <v>46096</v>
      </c>
      <c r="C31" s="160">
        <v>1414.4</v>
      </c>
      <c r="D31" s="87">
        <f t="shared" si="0"/>
        <v>2.4407909031650687E-2</v>
      </c>
      <c r="F31" s="159">
        <v>46096</v>
      </c>
      <c r="G31" s="160">
        <v>23114.5</v>
      </c>
      <c r="H31" s="87">
        <f t="shared" si="1"/>
        <v>-1.5809184012853805E-3</v>
      </c>
      <c r="I31" s="53"/>
      <c r="J31" s="69"/>
      <c r="K31" s="69" t="s">
        <v>130</v>
      </c>
      <c r="L31" s="69" t="s">
        <v>131</v>
      </c>
      <c r="M31" s="69" t="s">
        <v>132</v>
      </c>
      <c r="N31" s="69" t="s">
        <v>133</v>
      </c>
      <c r="O31" s="69" t="s">
        <v>134</v>
      </c>
    </row>
    <row r="32" spans="2:15" outlineLevel="1">
      <c r="B32" s="159">
        <v>46103</v>
      </c>
      <c r="C32" s="160">
        <v>1348.1</v>
      </c>
      <c r="D32" s="87">
        <f t="shared" si="0"/>
        <v>-4.6875000000000111E-2</v>
      </c>
      <c r="F32" s="159">
        <v>46103</v>
      </c>
      <c r="G32" s="160">
        <v>22819.599999999999</v>
      </c>
      <c r="H32" s="87">
        <f t="shared" si="1"/>
        <v>-1.275822535637805E-2</v>
      </c>
      <c r="I32" s="53"/>
      <c r="J32" t="s">
        <v>127</v>
      </c>
      <c r="K32">
        <v>1</v>
      </c>
      <c r="L32">
        <v>1.1138053899547973E-2</v>
      </c>
      <c r="M32">
        <v>1.1138053899547973E-2</v>
      </c>
      <c r="N32">
        <v>20.313860437912311</v>
      </c>
      <c r="O32">
        <v>4.0948929941113381E-5</v>
      </c>
    </row>
    <row r="33" spans="2:18" outlineLevel="1">
      <c r="B33" s="159">
        <v>46110</v>
      </c>
      <c r="C33" s="160">
        <v>1350.5</v>
      </c>
      <c r="D33" s="87">
        <f t="shared" si="0"/>
        <v>1.7802833617683866E-3</v>
      </c>
      <c r="F33" s="159">
        <v>46110</v>
      </c>
      <c r="G33" s="160">
        <v>22713.1</v>
      </c>
      <c r="H33" s="87">
        <f t="shared" si="1"/>
        <v>-4.6670406142088616E-3</v>
      </c>
      <c r="I33" s="53"/>
      <c r="J33" t="s">
        <v>128</v>
      </c>
      <c r="K33">
        <v>49</v>
      </c>
      <c r="L33">
        <v>2.6866613696886255E-2</v>
      </c>
      <c r="M33">
        <v>5.4829823871196438E-4</v>
      </c>
    </row>
    <row r="34" spans="2:18" ht="15" outlineLevel="1" thickBot="1">
      <c r="B34" s="159">
        <v>46117</v>
      </c>
      <c r="C34" s="160">
        <v>1350.2</v>
      </c>
      <c r="D34" s="87">
        <f t="shared" si="0"/>
        <v>-2.2213994816733251E-4</v>
      </c>
      <c r="F34" s="159">
        <v>46117</v>
      </c>
      <c r="G34" s="160">
        <v>24050.6</v>
      </c>
      <c r="H34" s="87">
        <f t="shared" si="1"/>
        <v>5.8886721759689342E-2</v>
      </c>
      <c r="I34" s="53"/>
      <c r="J34" s="68" t="s">
        <v>35</v>
      </c>
      <c r="K34" s="68">
        <v>50</v>
      </c>
      <c r="L34" s="68">
        <v>3.8004667596434227E-2</v>
      </c>
      <c r="M34" s="68"/>
      <c r="N34" s="68"/>
      <c r="O34" s="68"/>
    </row>
    <row r="35" spans="2:18" ht="15" outlineLevel="1" thickBot="1">
      <c r="B35" s="159">
        <v>46124</v>
      </c>
      <c r="C35" s="160">
        <v>1365</v>
      </c>
      <c r="D35" s="87">
        <f t="shared" si="0"/>
        <v>1.0961339060879816E-2</v>
      </c>
      <c r="F35" s="159">
        <v>46124</v>
      </c>
      <c r="G35" s="160">
        <v>24353.55</v>
      </c>
      <c r="H35" s="87">
        <f t="shared" si="1"/>
        <v>1.2596359342386565E-2</v>
      </c>
      <c r="I35" s="53"/>
    </row>
    <row r="36" spans="2:18" outlineLevel="1">
      <c r="B36" s="159">
        <v>46131</v>
      </c>
      <c r="C36" s="160">
        <v>1327.8</v>
      </c>
      <c r="D36" s="87">
        <f t="shared" si="0"/>
        <v>-2.7252747252747289E-2</v>
      </c>
      <c r="F36" s="159">
        <v>46131</v>
      </c>
      <c r="G36" s="160">
        <v>23897.95</v>
      </c>
      <c r="H36" s="87">
        <f t="shared" si="1"/>
        <v>-1.8707744866764742E-2</v>
      </c>
      <c r="I36" s="53"/>
      <c r="J36" s="69"/>
      <c r="K36" s="69" t="s">
        <v>135</v>
      </c>
      <c r="L36" s="69" t="s">
        <v>124</v>
      </c>
      <c r="M36" s="69" t="s">
        <v>136</v>
      </c>
      <c r="N36" s="69" t="s">
        <v>137</v>
      </c>
      <c r="O36" s="69" t="s">
        <v>138</v>
      </c>
      <c r="P36" s="69" t="s">
        <v>139</v>
      </c>
      <c r="Q36" s="69" t="s">
        <v>140</v>
      </c>
      <c r="R36" s="69" t="s">
        <v>141</v>
      </c>
    </row>
    <row r="37" spans="2:18" outlineLevel="1">
      <c r="B37" s="159">
        <v>46138</v>
      </c>
      <c r="C37" s="160">
        <v>1430.8</v>
      </c>
      <c r="D37" s="87">
        <f t="shared" si="0"/>
        <v>7.7571923482452121E-2</v>
      </c>
      <c r="F37" s="159">
        <v>46138</v>
      </c>
      <c r="G37" s="160">
        <v>23997.55</v>
      </c>
      <c r="H37" s="87">
        <f t="shared" si="1"/>
        <v>4.167721499124255E-3</v>
      </c>
      <c r="I37" s="53"/>
      <c r="J37" t="s">
        <v>129</v>
      </c>
      <c r="K37">
        <v>-5.4921947704151619E-4</v>
      </c>
      <c r="L37">
        <v>3.2888710030073696E-3</v>
      </c>
      <c r="M37">
        <v>-0.16699331671546425</v>
      </c>
      <c r="N37">
        <v>0.86806255629039197</v>
      </c>
      <c r="O37">
        <v>-7.1584532027975292E-3</v>
      </c>
      <c r="P37">
        <v>6.0600142487144959E-3</v>
      </c>
      <c r="Q37">
        <v>-7.1584532027975292E-3</v>
      </c>
      <c r="R37">
        <v>6.0600142487144959E-3</v>
      </c>
    </row>
    <row r="38" spans="2:18" ht="15" outlineLevel="1" thickBot="1">
      <c r="B38" s="159">
        <v>46145</v>
      </c>
      <c r="C38" s="160">
        <v>1435.2</v>
      </c>
      <c r="D38" s="87">
        <f t="shared" si="0"/>
        <v>3.0752026838132274E-3</v>
      </c>
      <c r="F38" s="159">
        <v>46145</v>
      </c>
      <c r="G38" s="160">
        <v>24176.15</v>
      </c>
      <c r="H38" s="87">
        <f t="shared" si="1"/>
        <v>7.4424264143633234E-3</v>
      </c>
      <c r="I38" s="53"/>
      <c r="J38" s="68" t="s">
        <v>272</v>
      </c>
      <c r="K38" s="68">
        <v>0.89268914713483283</v>
      </c>
      <c r="L38" s="68">
        <v>0.19806330545954171</v>
      </c>
      <c r="M38" s="68">
        <v>4.5070900188383556</v>
      </c>
      <c r="N38" s="68">
        <v>4.094892994111332E-5</v>
      </c>
      <c r="O38" s="68">
        <v>0.49466603309937346</v>
      </c>
      <c r="P38" s="68">
        <v>1.2907122611702921</v>
      </c>
      <c r="Q38" s="68">
        <v>0.49466603309937346</v>
      </c>
      <c r="R38" s="68">
        <v>1.2907122611702921</v>
      </c>
    </row>
    <row r="39" spans="2:18" outlineLevel="1">
      <c r="B39" s="159">
        <v>46152</v>
      </c>
      <c r="C39" s="160">
        <v>1336.4</v>
      </c>
      <c r="D39" s="87">
        <f t="shared" si="0"/>
        <v>-6.88405797101449E-2</v>
      </c>
      <c r="F39" s="159">
        <v>46152</v>
      </c>
      <c r="G39" s="160">
        <v>23643.5</v>
      </c>
      <c r="H39" s="87">
        <f t="shared" si="1"/>
        <v>-2.2032043977225579E-2</v>
      </c>
      <c r="I39" s="53"/>
      <c r="J39" s="158"/>
    </row>
    <row r="40" spans="2:18" outlineLevel="1">
      <c r="B40" s="159">
        <v>46159</v>
      </c>
      <c r="C40" s="160">
        <v>1354.5</v>
      </c>
      <c r="D40" s="87">
        <f t="shared" si="0"/>
        <v>1.3543849146961939E-2</v>
      </c>
      <c r="F40" s="159">
        <v>46159</v>
      </c>
      <c r="G40" s="160">
        <v>23719.3</v>
      </c>
      <c r="H40" s="87">
        <f t="shared" si="1"/>
        <v>3.2059551250871454E-3</v>
      </c>
      <c r="I40" s="53"/>
      <c r="J40" s="158"/>
    </row>
    <row r="41" spans="2:18" outlineLevel="1">
      <c r="B41" s="159">
        <v>46166</v>
      </c>
      <c r="C41" s="160">
        <v>1321.2</v>
      </c>
      <c r="D41" s="87">
        <f t="shared" si="0"/>
        <v>-2.4584717607973428E-2</v>
      </c>
      <c r="F41" s="159">
        <v>46166</v>
      </c>
      <c r="G41" s="160">
        <v>23547.75</v>
      </c>
      <c r="H41" s="87">
        <f t="shared" si="1"/>
        <v>-7.2325068615008981E-3</v>
      </c>
      <c r="I41" s="53"/>
      <c r="J41" s="158"/>
    </row>
    <row r="42" spans="2:18" outlineLevel="1">
      <c r="B42" s="159">
        <v>46173</v>
      </c>
      <c r="C42" s="160">
        <v>1291</v>
      </c>
      <c r="D42" s="87">
        <f t="shared" si="0"/>
        <v>-2.2858007871631836E-2</v>
      </c>
      <c r="F42" s="159">
        <v>46173</v>
      </c>
      <c r="G42" s="160">
        <v>23366.7</v>
      </c>
      <c r="H42" s="87">
        <f t="shared" si="1"/>
        <v>-7.6886326719113329E-3</v>
      </c>
      <c r="I42" s="53"/>
      <c r="J42" s="158"/>
    </row>
    <row r="43" spans="2:18" outlineLevel="1">
      <c r="B43" s="159">
        <v>46180</v>
      </c>
      <c r="C43" s="160">
        <v>1293</v>
      </c>
      <c r="D43" s="87">
        <f t="shared" si="0"/>
        <v>1.5491866769945517E-3</v>
      </c>
      <c r="F43" s="159">
        <v>46180</v>
      </c>
      <c r="G43" s="160">
        <v>23622.9</v>
      </c>
      <c r="H43" s="87">
        <f t="shared" si="1"/>
        <v>1.0964321020940027E-2</v>
      </c>
      <c r="I43" s="53"/>
      <c r="J43" s="158"/>
    </row>
    <row r="44" spans="2:18" outlineLevel="1">
      <c r="B44" s="159">
        <v>46187</v>
      </c>
      <c r="C44" s="160">
        <v>1309.5</v>
      </c>
      <c r="D44" s="87">
        <f t="shared" si="0"/>
        <v>1.2761020881670637E-2</v>
      </c>
      <c r="F44" s="159">
        <v>46187</v>
      </c>
      <c r="G44" s="160">
        <v>24013.1</v>
      </c>
      <c r="H44" s="87">
        <f t="shared" si="1"/>
        <v>1.6517870371546062E-2</v>
      </c>
      <c r="I44" s="53"/>
      <c r="J44" s="158"/>
    </row>
    <row r="45" spans="2:18" outlineLevel="1">
      <c r="B45" s="159">
        <v>46194</v>
      </c>
      <c r="C45" s="160">
        <v>1318.1</v>
      </c>
      <c r="D45" s="87">
        <f t="shared" si="0"/>
        <v>6.5673921344022723E-3</v>
      </c>
      <c r="F45" s="159">
        <v>46194</v>
      </c>
      <c r="G45" s="160">
        <v>24056</v>
      </c>
      <c r="H45" s="87">
        <f t="shared" si="1"/>
        <v>1.7865248551833801E-3</v>
      </c>
      <c r="I45" s="53"/>
      <c r="J45" s="158"/>
    </row>
    <row r="46" spans="2:18" outlineLevel="1">
      <c r="B46" s="159">
        <v>46201</v>
      </c>
      <c r="C46" s="160">
        <v>1304</v>
      </c>
      <c r="D46" s="87">
        <f t="shared" si="0"/>
        <v>-1.069721568924964E-2</v>
      </c>
      <c r="F46" s="159">
        <v>46201</v>
      </c>
      <c r="G46" s="160">
        <v>24270.85</v>
      </c>
      <c r="H46" s="87">
        <f t="shared" si="1"/>
        <v>8.9312437645492349E-3</v>
      </c>
      <c r="I46" s="53"/>
      <c r="J46" s="158"/>
    </row>
    <row r="47" spans="2:18" outlineLevel="1">
      <c r="B47" s="159">
        <v>46208</v>
      </c>
      <c r="C47" s="160">
        <v>1307.8</v>
      </c>
      <c r="D47" s="87">
        <f t="shared" si="0"/>
        <v>2.9141104294478914E-3</v>
      </c>
      <c r="F47" s="159">
        <v>46208</v>
      </c>
      <c r="G47" s="160">
        <v>24206.9</v>
      </c>
      <c r="H47" s="87">
        <f t="shared" si="1"/>
        <v>-2.6348479760699428E-3</v>
      </c>
      <c r="I47" s="53"/>
      <c r="J47" s="158"/>
    </row>
    <row r="48" spans="2:18" outlineLevel="1">
      <c r="B48" s="159">
        <v>46215</v>
      </c>
      <c r="C48" s="160">
        <v>1327.2</v>
      </c>
      <c r="D48" s="87">
        <f t="shared" si="0"/>
        <v>1.4834072488148164E-2</v>
      </c>
      <c r="F48" s="159">
        <v>46215</v>
      </c>
      <c r="G48" s="160">
        <v>24334.3</v>
      </c>
      <c r="H48" s="87">
        <f t="shared" si="1"/>
        <v>5.262962213253175E-3</v>
      </c>
      <c r="I48" s="53"/>
      <c r="J48" s="158"/>
    </row>
    <row r="49" spans="2:11" outlineLevel="1">
      <c r="B49" s="159">
        <v>46222</v>
      </c>
      <c r="C49" s="160">
        <v>1278</v>
      </c>
      <c r="D49" s="87">
        <f t="shared" si="0"/>
        <v>-3.7070524412296635E-2</v>
      </c>
      <c r="F49" s="159">
        <v>46222</v>
      </c>
      <c r="G49" s="160">
        <v>23767.45</v>
      </c>
      <c r="H49" s="87">
        <f t="shared" si="1"/>
        <v>-2.3294280090242925E-2</v>
      </c>
      <c r="I49" s="53"/>
      <c r="J49" s="158"/>
    </row>
    <row r="50" spans="2:11" outlineLevel="1">
      <c r="B50" s="159">
        <v>46229</v>
      </c>
      <c r="C50" s="160">
        <v>1307.8</v>
      </c>
      <c r="D50" s="87">
        <f t="shared" si="0"/>
        <v>2.3317683881064033E-2</v>
      </c>
      <c r="F50" s="159">
        <v>46229</v>
      </c>
      <c r="G50" s="160">
        <v>24383.599999999999</v>
      </c>
      <c r="H50" s="87">
        <f t="shared" si="1"/>
        <v>2.5924110495656683E-2</v>
      </c>
      <c r="I50" s="53"/>
      <c r="J50" s="158"/>
    </row>
    <row r="51" spans="2:11" outlineLevel="1">
      <c r="B51" s="159">
        <v>46236</v>
      </c>
      <c r="C51" s="160">
        <v>1334.8</v>
      </c>
      <c r="D51" s="87">
        <f t="shared" si="0"/>
        <v>2.06453586175257E-2</v>
      </c>
      <c r="F51" s="159">
        <v>46236</v>
      </c>
      <c r="G51" s="160">
        <v>24570.65</v>
      </c>
      <c r="H51" s="87">
        <f t="shared" si="1"/>
        <v>7.6711396184321323E-3</v>
      </c>
      <c r="I51" s="53"/>
      <c r="J51" s="158"/>
    </row>
    <row r="52" spans="2:11" outlineLevel="1">
      <c r="B52" s="159">
        <v>46243</v>
      </c>
      <c r="C52" s="160">
        <v>1310</v>
      </c>
      <c r="D52" s="87">
        <f t="shared" si="0"/>
        <v>-1.8579562481270573E-2</v>
      </c>
      <c r="F52" s="159">
        <v>46243</v>
      </c>
      <c r="G52" s="160">
        <v>24366</v>
      </c>
      <c r="H52" s="87">
        <f t="shared" si="1"/>
        <v>-8.3290429842108882E-3</v>
      </c>
      <c r="I52" s="53"/>
      <c r="J52" s="158"/>
    </row>
    <row r="53" spans="2:11" outlineLevel="1">
      <c r="B53" s="159">
        <v>46250</v>
      </c>
      <c r="C53" s="160">
        <v>1316</v>
      </c>
      <c r="D53" s="87">
        <f t="shared" si="0"/>
        <v>4.5801526717557106E-3</v>
      </c>
      <c r="F53" s="159">
        <v>46250</v>
      </c>
      <c r="G53" s="160">
        <v>24252</v>
      </c>
      <c r="H53" s="87">
        <f t="shared" si="1"/>
        <v>-4.6786505786752253E-3</v>
      </c>
      <c r="I53" s="53"/>
      <c r="J53" s="158"/>
    </row>
    <row r="54" spans="2:11" outlineLevel="1">
      <c r="B54" s="159">
        <v>46257</v>
      </c>
      <c r="C54" s="160">
        <v>1287</v>
      </c>
      <c r="D54" s="87">
        <f t="shared" si="0"/>
        <v>-2.203647416413379E-2</v>
      </c>
      <c r="F54" s="159">
        <v>46257</v>
      </c>
      <c r="G54" s="160">
        <v>24175.65</v>
      </c>
      <c r="H54" s="87">
        <f t="shared" si="1"/>
        <v>-3.1481939633843936E-3</v>
      </c>
      <c r="I54" s="53"/>
      <c r="J54" s="158"/>
    </row>
    <row r="55" spans="2:11" outlineLevel="1">
      <c r="B55" s="159">
        <v>46264</v>
      </c>
      <c r="C55" s="160">
        <v>1322</v>
      </c>
      <c r="D55" s="87">
        <f t="shared" si="0"/>
        <v>2.7195027195027199E-2</v>
      </c>
      <c r="F55" s="159">
        <v>46264</v>
      </c>
      <c r="G55" s="160">
        <v>23897.7</v>
      </c>
      <c r="H55" s="87">
        <f t="shared" si="1"/>
        <v>-1.1497105558692322E-2</v>
      </c>
      <c r="I55" s="53"/>
      <c r="J55" s="158"/>
    </row>
    <row r="56" spans="2:11" outlineLevel="1">
      <c r="B56" s="159">
        <v>46271</v>
      </c>
      <c r="C56" s="160">
        <v>1257.5</v>
      </c>
      <c r="D56" s="87">
        <f t="shared" si="0"/>
        <v>-4.8789712556732256E-2</v>
      </c>
      <c r="F56" s="159">
        <v>46271</v>
      </c>
      <c r="G56" s="160">
        <v>23398.1</v>
      </c>
      <c r="H56" s="87">
        <f t="shared" si="1"/>
        <v>-2.0905777543445692E-2</v>
      </c>
      <c r="I56" s="53"/>
      <c r="J56" s="158"/>
    </row>
    <row r="57" spans="2:11" outlineLevel="1">
      <c r="B57" s="159">
        <v>46278</v>
      </c>
      <c r="C57" s="160">
        <v>1226.4000000000001</v>
      </c>
      <c r="D57" s="87">
        <f t="shared" si="0"/>
        <v>-2.473161033797211E-2</v>
      </c>
      <c r="F57" s="159">
        <v>46278</v>
      </c>
      <c r="G57" s="160">
        <v>23346.400000000001</v>
      </c>
      <c r="H57" s="87">
        <f t="shared" si="1"/>
        <v>-2.2095811198343807E-3</v>
      </c>
      <c r="I57" s="53"/>
      <c r="J57" s="158"/>
    </row>
    <row r="58" spans="2:11" outlineLevel="1">
      <c r="B58" s="159">
        <v>46285</v>
      </c>
      <c r="C58" s="160">
        <v>1226</v>
      </c>
      <c r="D58" s="87">
        <f t="shared" si="0"/>
        <v>-3.2615786040446348E-4</v>
      </c>
      <c r="F58" s="159">
        <v>46285</v>
      </c>
      <c r="G58" s="160">
        <v>23140.5</v>
      </c>
      <c r="H58" s="87">
        <f t="shared" si="1"/>
        <v>-8.8193468800329411E-3</v>
      </c>
      <c r="I58" s="53"/>
      <c r="J58" s="158"/>
    </row>
    <row r="61" spans="2:11">
      <c r="B61" s="198" t="s">
        <v>275</v>
      </c>
      <c r="C61" s="198"/>
      <c r="D61" s="198"/>
      <c r="F61" s="198" t="s">
        <v>267</v>
      </c>
      <c r="G61" s="198"/>
      <c r="H61" s="198"/>
      <c r="J61" s="198" t="s">
        <v>268</v>
      </c>
      <c r="K61" s="198"/>
    </row>
    <row r="62" spans="2:11" outlineLevel="1"/>
    <row r="63" spans="2:11" outlineLevel="1">
      <c r="B63" s="161" t="s">
        <v>263</v>
      </c>
      <c r="C63" s="162" t="s">
        <v>264</v>
      </c>
      <c r="D63" s="162" t="s">
        <v>265</v>
      </c>
      <c r="F63" s="161" t="s">
        <v>263</v>
      </c>
      <c r="G63" s="162" t="s">
        <v>264</v>
      </c>
      <c r="H63" s="162" t="s">
        <v>265</v>
      </c>
    </row>
    <row r="64" spans="2:11" outlineLevel="1">
      <c r="B64" s="159">
        <v>45928</v>
      </c>
      <c r="C64" s="65">
        <v>150.38999999999999</v>
      </c>
      <c r="E64" s="53"/>
      <c r="F64" s="159">
        <v>45928</v>
      </c>
      <c r="G64" s="160">
        <v>24894.25</v>
      </c>
      <c r="H64" s="160"/>
      <c r="J64" s="144" t="s">
        <v>269</v>
      </c>
      <c r="K64" s="164">
        <f>SLOPE(D65:D115,H65:H115)</f>
        <v>1.3213055319173239</v>
      </c>
    </row>
    <row r="65" spans="2:11" outlineLevel="1">
      <c r="B65" s="159">
        <v>45935</v>
      </c>
      <c r="C65" s="65">
        <v>154.11000000000001</v>
      </c>
      <c r="D65" s="87">
        <f>C65/C64-1</f>
        <v>2.4735687213245816E-2</v>
      </c>
      <c r="E65" s="53"/>
      <c r="F65" s="159">
        <v>45935</v>
      </c>
      <c r="G65" s="160">
        <v>25285.35</v>
      </c>
      <c r="H65" s="87">
        <f>G65/G64-1</f>
        <v>1.5710455225604214E-2</v>
      </c>
      <c r="J65" s="144" t="s">
        <v>270</v>
      </c>
      <c r="K65" s="164" cm="1">
        <f t="array" ref="K65">_xlfn.COVARIANCE.S(D65:D115,H65:H115/_xlfn.VAR.S(H65:H115))</f>
        <v>1.3213055319173237</v>
      </c>
    </row>
    <row r="66" spans="2:11" outlineLevel="1">
      <c r="B66" s="159">
        <v>45942</v>
      </c>
      <c r="C66" s="65">
        <v>152.91</v>
      </c>
      <c r="D66" s="87">
        <f t="shared" ref="D66:D115" si="2">C66/C65-1</f>
        <v>-7.7866459022777335E-3</v>
      </c>
      <c r="E66" s="53"/>
      <c r="F66" s="159">
        <v>45942</v>
      </c>
      <c r="G66" s="160">
        <v>25709.85</v>
      </c>
      <c r="H66" s="87">
        <f t="shared" ref="H66:H115" si="3">G66/G65-1</f>
        <v>1.6788377459675319E-2</v>
      </c>
      <c r="J66" s="144" t="s">
        <v>274</v>
      </c>
      <c r="K66" s="164">
        <f>K96</f>
        <v>1.3213055319173241</v>
      </c>
    </row>
    <row r="67" spans="2:11" outlineLevel="1">
      <c r="B67" s="159">
        <v>45949</v>
      </c>
      <c r="C67" s="65">
        <v>150.37</v>
      </c>
      <c r="D67" s="87">
        <f t="shared" si="2"/>
        <v>-1.6611078412137825E-2</v>
      </c>
      <c r="E67" s="53"/>
      <c r="F67" s="159">
        <v>45949</v>
      </c>
      <c r="G67" s="160">
        <v>25795.15</v>
      </c>
      <c r="H67" s="87">
        <f t="shared" si="3"/>
        <v>3.3177945417808274E-3</v>
      </c>
    </row>
    <row r="68" spans="2:11" outlineLevel="1">
      <c r="B68" s="159">
        <v>45956</v>
      </c>
      <c r="C68" s="65">
        <v>165.9</v>
      </c>
      <c r="D68" s="87">
        <f t="shared" si="2"/>
        <v>0.10327857950389041</v>
      </c>
      <c r="E68" s="53"/>
      <c r="F68" s="159">
        <v>45956</v>
      </c>
      <c r="G68" s="160">
        <v>25722.1</v>
      </c>
      <c r="H68" s="87">
        <f t="shared" si="3"/>
        <v>-2.8319277073404203E-3</v>
      </c>
      <c r="J68" s="198" t="s">
        <v>279</v>
      </c>
      <c r="K68" s="198"/>
    </row>
    <row r="69" spans="2:11" outlineLevel="1">
      <c r="B69" s="159">
        <v>45963</v>
      </c>
      <c r="C69" s="65">
        <v>169.16</v>
      </c>
      <c r="D69" s="87">
        <f t="shared" si="2"/>
        <v>1.9650391802290557E-2</v>
      </c>
      <c r="E69" s="53"/>
      <c r="F69" s="159">
        <v>45963</v>
      </c>
      <c r="G69" s="160">
        <v>25492.3</v>
      </c>
      <c r="H69" s="87">
        <f t="shared" si="3"/>
        <v>-8.9339517379996014E-3</v>
      </c>
      <c r="J69" s="158"/>
    </row>
    <row r="70" spans="2:11" outlineLevel="1">
      <c r="B70" s="159">
        <v>45970</v>
      </c>
      <c r="C70" s="65">
        <v>171.25</v>
      </c>
      <c r="D70" s="87">
        <f t="shared" si="2"/>
        <v>1.2355166706077059E-2</v>
      </c>
      <c r="E70" s="53"/>
      <c r="F70" s="159">
        <v>45970</v>
      </c>
      <c r="G70" s="160">
        <v>25910.05</v>
      </c>
      <c r="H70" s="87">
        <f t="shared" si="3"/>
        <v>1.6387301263518728E-2</v>
      </c>
      <c r="J70" t="s">
        <v>280</v>
      </c>
      <c r="K70" s="158">
        <f>K66</f>
        <v>1.3213055319173241</v>
      </c>
    </row>
    <row r="71" spans="2:11" outlineLevel="1">
      <c r="B71" s="159">
        <v>45977</v>
      </c>
      <c r="C71" s="65">
        <v>167.35</v>
      </c>
      <c r="D71" s="87">
        <f t="shared" si="2"/>
        <v>-2.2773722627737247E-2</v>
      </c>
      <c r="E71" s="53"/>
      <c r="F71" s="159">
        <v>45977</v>
      </c>
      <c r="G71" s="160">
        <v>26068.15</v>
      </c>
      <c r="H71" s="87">
        <f t="shared" si="3"/>
        <v>6.1018793865701415E-3</v>
      </c>
      <c r="J71" t="s">
        <v>281</v>
      </c>
      <c r="K71" s="53">
        <v>0.75</v>
      </c>
    </row>
    <row r="72" spans="2:11" outlineLevel="1">
      <c r="B72" s="159">
        <v>45984</v>
      </c>
      <c r="C72" s="65">
        <v>161.75</v>
      </c>
      <c r="D72" s="87">
        <f t="shared" si="2"/>
        <v>-3.3462802509710121E-2</v>
      </c>
      <c r="E72" s="53"/>
      <c r="F72" s="159">
        <v>45984</v>
      </c>
      <c r="G72" s="160">
        <v>26202.95</v>
      </c>
      <c r="H72" s="87">
        <f t="shared" si="3"/>
        <v>5.1710612375637233E-3</v>
      </c>
    </row>
    <row r="73" spans="2:11" outlineLevel="1">
      <c r="B73" s="159">
        <v>45991</v>
      </c>
      <c r="C73" s="65">
        <v>163.66</v>
      </c>
      <c r="D73" s="87">
        <f t="shared" si="2"/>
        <v>1.1808346213292076E-2</v>
      </c>
      <c r="E73" s="53"/>
      <c r="F73" s="159">
        <v>45991</v>
      </c>
      <c r="G73" s="160">
        <v>26186.45</v>
      </c>
      <c r="H73" s="87">
        <f t="shared" si="3"/>
        <v>-6.297000910202577E-4</v>
      </c>
      <c r="J73" t="s">
        <v>282</v>
      </c>
      <c r="K73" s="167">
        <v>1</v>
      </c>
    </row>
    <row r="74" spans="2:11" outlineLevel="1">
      <c r="B74" s="159">
        <v>45998</v>
      </c>
      <c r="C74" s="65">
        <v>163.66999999999999</v>
      </c>
      <c r="D74" s="87">
        <f t="shared" si="2"/>
        <v>6.1102285225489439E-5</v>
      </c>
      <c r="E74" s="53"/>
      <c r="F74" s="159">
        <v>45998</v>
      </c>
      <c r="G74" s="160">
        <v>26046.95</v>
      </c>
      <c r="H74" s="87">
        <f t="shared" si="3"/>
        <v>-5.3271825696113995E-3</v>
      </c>
      <c r="J74" t="s">
        <v>283</v>
      </c>
      <c r="K74" s="53">
        <v>0.25</v>
      </c>
    </row>
    <row r="75" spans="2:11" outlineLevel="1">
      <c r="B75" s="159">
        <v>46005</v>
      </c>
      <c r="C75" s="65">
        <v>162.6</v>
      </c>
      <c r="D75" s="87">
        <f t="shared" si="2"/>
        <v>-6.537545060182004E-3</v>
      </c>
      <c r="E75" s="53"/>
      <c r="F75" s="159">
        <v>46005</v>
      </c>
      <c r="G75" s="160">
        <v>25966.400000000001</v>
      </c>
      <c r="H75" s="87">
        <f t="shared" si="3"/>
        <v>-3.0924925951022475E-3</v>
      </c>
    </row>
    <row r="76" spans="2:11" outlineLevel="1">
      <c r="B76" s="159">
        <v>46012</v>
      </c>
      <c r="C76" s="65">
        <v>160.30000000000001</v>
      </c>
      <c r="D76" s="87">
        <f t="shared" si="2"/>
        <v>-1.4145141451414434E-2</v>
      </c>
      <c r="E76" s="53"/>
      <c r="F76" s="159">
        <v>46012</v>
      </c>
      <c r="G76" s="160">
        <v>26042.3</v>
      </c>
      <c r="H76" s="87">
        <f t="shared" si="3"/>
        <v>2.9230081952060782E-3</v>
      </c>
      <c r="J76" s="144" t="s">
        <v>284</v>
      </c>
      <c r="K76" s="164">
        <f>(K70*K71)+(K73*K74)</f>
        <v>1.2409791489379931</v>
      </c>
    </row>
    <row r="77" spans="2:11" outlineLevel="1">
      <c r="B77" s="159">
        <v>46019</v>
      </c>
      <c r="C77" s="65">
        <v>166.79</v>
      </c>
      <c r="D77" s="87">
        <f t="shared" si="2"/>
        <v>4.0486587648159489E-2</v>
      </c>
      <c r="E77" s="53"/>
      <c r="F77" s="159">
        <v>46019</v>
      </c>
      <c r="G77" s="160">
        <v>26328.55</v>
      </c>
      <c r="H77" s="87">
        <f t="shared" si="3"/>
        <v>1.0991732681061128E-2</v>
      </c>
    </row>
    <row r="78" spans="2:11" outlineLevel="1">
      <c r="B78" s="159">
        <v>46026</v>
      </c>
      <c r="C78" s="65">
        <v>157.61000000000001</v>
      </c>
      <c r="D78" s="87">
        <f t="shared" si="2"/>
        <v>-5.503927093950467E-2</v>
      </c>
      <c r="E78" s="53"/>
      <c r="F78" s="159">
        <v>46026</v>
      </c>
      <c r="G78" s="160">
        <v>25683.3</v>
      </c>
      <c r="H78" s="87">
        <f t="shared" si="3"/>
        <v>-2.4507616256877029E-2</v>
      </c>
    </row>
    <row r="79" spans="2:11" outlineLevel="1">
      <c r="B79" s="159">
        <v>46033</v>
      </c>
      <c r="C79" s="65">
        <v>161.32</v>
      </c>
      <c r="D79" s="87">
        <f t="shared" si="2"/>
        <v>2.3539115538353972E-2</v>
      </c>
      <c r="E79" s="53"/>
      <c r="F79" s="159">
        <v>46033</v>
      </c>
      <c r="G79" s="160">
        <v>25694.35</v>
      </c>
      <c r="H79" s="87">
        <f t="shared" si="3"/>
        <v>4.3024066222008273E-4</v>
      </c>
      <c r="J79" t="s">
        <v>119</v>
      </c>
    </row>
    <row r="80" spans="2:11" ht="15" outlineLevel="1" thickBot="1">
      <c r="B80" s="159">
        <v>46040</v>
      </c>
      <c r="C80" s="65">
        <v>156.03</v>
      </c>
      <c r="D80" s="87">
        <f t="shared" si="2"/>
        <v>-3.2791966278204798E-2</v>
      </c>
      <c r="E80" s="53"/>
      <c r="F80" s="159">
        <v>46040</v>
      </c>
      <c r="G80" s="160">
        <v>25048.65</v>
      </c>
      <c r="H80" s="87">
        <f t="shared" si="3"/>
        <v>-2.5130038315816394E-2</v>
      </c>
    </row>
    <row r="81" spans="2:18" outlineLevel="1">
      <c r="B81" s="159">
        <v>46047</v>
      </c>
      <c r="C81" s="65">
        <v>163.24</v>
      </c>
      <c r="D81" s="87">
        <f t="shared" si="2"/>
        <v>4.62090623598026E-2</v>
      </c>
      <c r="E81" s="53"/>
      <c r="F81" s="159">
        <v>46047</v>
      </c>
      <c r="G81" s="160">
        <v>25320.65</v>
      </c>
      <c r="H81" s="87">
        <f t="shared" si="3"/>
        <v>1.0858868641623332E-2</v>
      </c>
      <c r="J81" s="70" t="s">
        <v>120</v>
      </c>
      <c r="K81" s="70"/>
    </row>
    <row r="82" spans="2:18" outlineLevel="1">
      <c r="B82" s="159">
        <v>46054</v>
      </c>
      <c r="C82" s="65">
        <v>175.2</v>
      </c>
      <c r="D82" s="87">
        <f t="shared" si="2"/>
        <v>7.3266356285224044E-2</v>
      </c>
      <c r="E82" s="53"/>
      <c r="F82" s="159">
        <v>46054</v>
      </c>
      <c r="G82" s="160">
        <v>25693.7</v>
      </c>
      <c r="H82" s="87">
        <f t="shared" si="3"/>
        <v>1.4733034104574605E-2</v>
      </c>
      <c r="J82" t="s">
        <v>121</v>
      </c>
      <c r="K82">
        <v>0.56893459479462827</v>
      </c>
    </row>
    <row r="83" spans="2:18" outlineLevel="1">
      <c r="B83" s="159">
        <v>46061</v>
      </c>
      <c r="C83" s="65">
        <v>176.77</v>
      </c>
      <c r="D83" s="87">
        <f t="shared" si="2"/>
        <v>8.9611872146120319E-3</v>
      </c>
      <c r="E83" s="53"/>
      <c r="F83" s="159">
        <v>46061</v>
      </c>
      <c r="G83" s="160">
        <v>25471.1</v>
      </c>
      <c r="H83" s="87">
        <f t="shared" si="3"/>
        <v>-8.6636023616685209E-3</v>
      </c>
      <c r="J83" t="s">
        <v>122</v>
      </c>
      <c r="K83">
        <v>0.32368657315412791</v>
      </c>
    </row>
    <row r="84" spans="2:18" outlineLevel="1">
      <c r="B84" s="159">
        <v>46068</v>
      </c>
      <c r="C84" s="65">
        <v>173.79</v>
      </c>
      <c r="D84" s="87">
        <f t="shared" si="2"/>
        <v>-1.6858064151156982E-2</v>
      </c>
      <c r="E84" s="53"/>
      <c r="F84" s="159">
        <v>46068</v>
      </c>
      <c r="G84" s="160">
        <v>25571.25</v>
      </c>
      <c r="H84" s="87">
        <f t="shared" si="3"/>
        <v>3.9319071418195684E-3</v>
      </c>
      <c r="J84" t="s">
        <v>123</v>
      </c>
      <c r="K84">
        <v>0.30988425832053867</v>
      </c>
    </row>
    <row r="85" spans="2:18" outlineLevel="1">
      <c r="B85" s="159">
        <v>46075</v>
      </c>
      <c r="C85" s="65">
        <v>187.47</v>
      </c>
      <c r="D85" s="87">
        <f t="shared" si="2"/>
        <v>7.8715691351631367E-2</v>
      </c>
      <c r="E85" s="53"/>
      <c r="F85" s="159">
        <v>46075</v>
      </c>
      <c r="G85" s="160">
        <v>25178.65</v>
      </c>
      <c r="H85" s="87">
        <f t="shared" si="3"/>
        <v>-1.5353179840641329E-2</v>
      </c>
      <c r="J85" t="s">
        <v>124</v>
      </c>
      <c r="K85">
        <v>3.2256799766950055E-2</v>
      </c>
    </row>
    <row r="86" spans="2:18" ht="15" outlineLevel="1" thickBot="1">
      <c r="B86" s="159">
        <v>46082</v>
      </c>
      <c r="C86" s="65">
        <v>168.68</v>
      </c>
      <c r="D86" s="87">
        <f t="shared" si="2"/>
        <v>-0.10022937003253851</v>
      </c>
      <c r="E86" s="53"/>
      <c r="F86" s="159">
        <v>46082</v>
      </c>
      <c r="G86" s="160">
        <v>24450.45</v>
      </c>
      <c r="H86" s="87">
        <f t="shared" si="3"/>
        <v>-2.892132818876314E-2</v>
      </c>
      <c r="J86" s="68" t="s">
        <v>125</v>
      </c>
      <c r="K86" s="68">
        <v>51</v>
      </c>
    </row>
    <row r="87" spans="2:18" outlineLevel="1">
      <c r="B87" s="159">
        <v>46089</v>
      </c>
      <c r="C87" s="65">
        <v>156.54</v>
      </c>
      <c r="D87" s="87">
        <f t="shared" si="2"/>
        <v>-7.1970595209864929E-2</v>
      </c>
      <c r="E87" s="53"/>
      <c r="F87" s="159">
        <v>46089</v>
      </c>
      <c r="G87" s="160">
        <v>23151.1</v>
      </c>
      <c r="H87" s="87">
        <f t="shared" si="3"/>
        <v>-5.3142171207482991E-2</v>
      </c>
    </row>
    <row r="88" spans="2:18" ht="15" outlineLevel="1" thickBot="1">
      <c r="B88" s="159">
        <v>46096</v>
      </c>
      <c r="C88" s="65">
        <v>144.6</v>
      </c>
      <c r="D88" s="87">
        <f t="shared" si="2"/>
        <v>-7.6274434649290956E-2</v>
      </c>
      <c r="E88" s="53"/>
      <c r="F88" s="159">
        <v>46096</v>
      </c>
      <c r="G88" s="160">
        <v>23114.5</v>
      </c>
      <c r="H88" s="87">
        <f t="shared" si="3"/>
        <v>-1.5809184012853805E-3</v>
      </c>
      <c r="J88" t="s">
        <v>126</v>
      </c>
    </row>
    <row r="89" spans="2:18" outlineLevel="1">
      <c r="B89" s="159">
        <v>46103</v>
      </c>
      <c r="C89" s="65">
        <v>137.76</v>
      </c>
      <c r="D89" s="87">
        <f t="shared" si="2"/>
        <v>-4.7302904564315407E-2</v>
      </c>
      <c r="E89" s="53"/>
      <c r="F89" s="159">
        <v>46103</v>
      </c>
      <c r="G89" s="160">
        <v>22819.599999999999</v>
      </c>
      <c r="H89" s="87">
        <f t="shared" si="3"/>
        <v>-1.275822535637805E-2</v>
      </c>
      <c r="J89" s="69"/>
      <c r="K89" s="69" t="s">
        <v>130</v>
      </c>
      <c r="L89" s="69" t="s">
        <v>131</v>
      </c>
      <c r="M89" s="69" t="s">
        <v>132</v>
      </c>
      <c r="N89" s="69" t="s">
        <v>133</v>
      </c>
      <c r="O89" s="69" t="s">
        <v>134</v>
      </c>
    </row>
    <row r="90" spans="2:18" outlineLevel="1">
      <c r="B90" s="159">
        <v>46110</v>
      </c>
      <c r="C90" s="65">
        <v>134.13</v>
      </c>
      <c r="D90" s="87">
        <f t="shared" si="2"/>
        <v>-2.6350174216027811E-2</v>
      </c>
      <c r="E90" s="53"/>
      <c r="F90" s="159">
        <v>46110</v>
      </c>
      <c r="G90" s="160">
        <v>22713.1</v>
      </c>
      <c r="H90" s="87">
        <f t="shared" si="3"/>
        <v>-4.6670406142088616E-3</v>
      </c>
      <c r="J90" t="s">
        <v>127</v>
      </c>
      <c r="K90">
        <v>1</v>
      </c>
      <c r="L90">
        <v>2.4401431903520288E-2</v>
      </c>
      <c r="M90">
        <v>2.4401431903520288E-2</v>
      </c>
      <c r="N90">
        <v>23.451614968701218</v>
      </c>
      <c r="O90">
        <v>1.3239707311069149E-5</v>
      </c>
    </row>
    <row r="91" spans="2:18" outlineLevel="1">
      <c r="B91" s="159">
        <v>46117</v>
      </c>
      <c r="C91" s="65">
        <v>142.96</v>
      </c>
      <c r="D91" s="87">
        <f t="shared" si="2"/>
        <v>6.5831655856259053E-2</v>
      </c>
      <c r="E91" s="53"/>
      <c r="F91" s="159">
        <v>46117</v>
      </c>
      <c r="G91" s="160">
        <v>24050.6</v>
      </c>
      <c r="H91" s="87">
        <f t="shared" si="3"/>
        <v>5.8886721759689342E-2</v>
      </c>
      <c r="J91" t="s">
        <v>128</v>
      </c>
      <c r="K91">
        <v>49</v>
      </c>
      <c r="L91">
        <v>5.0984555429050352E-2</v>
      </c>
      <c r="M91">
        <v>1.0405011312051092E-3</v>
      </c>
    </row>
    <row r="92" spans="2:18" ht="15" outlineLevel="1" thickBot="1">
      <c r="B92" s="159">
        <v>46124</v>
      </c>
      <c r="C92" s="65">
        <v>145.88</v>
      </c>
      <c r="D92" s="87">
        <f t="shared" si="2"/>
        <v>2.0425293788472132E-2</v>
      </c>
      <c r="E92" s="53"/>
      <c r="F92" s="159">
        <v>46124</v>
      </c>
      <c r="G92" s="160">
        <v>24353.55</v>
      </c>
      <c r="H92" s="87">
        <f t="shared" si="3"/>
        <v>1.2596359342386565E-2</v>
      </c>
      <c r="J92" s="68" t="s">
        <v>35</v>
      </c>
      <c r="K92" s="68">
        <v>50</v>
      </c>
      <c r="L92" s="68">
        <v>7.5385987332570639E-2</v>
      </c>
      <c r="M92" s="68"/>
      <c r="N92" s="68"/>
      <c r="O92" s="68"/>
    </row>
    <row r="93" spans="2:18" ht="15" outlineLevel="1" thickBot="1">
      <c r="B93" s="159">
        <v>46131</v>
      </c>
      <c r="C93" s="65">
        <v>143.47</v>
      </c>
      <c r="D93" s="87">
        <f t="shared" si="2"/>
        <v>-1.6520427748834665E-2</v>
      </c>
      <c r="E93" s="53"/>
      <c r="F93" s="159">
        <v>46131</v>
      </c>
      <c r="G93" s="160">
        <v>23897.95</v>
      </c>
      <c r="H93" s="87">
        <f t="shared" si="3"/>
        <v>-1.8707744866764742E-2</v>
      </c>
    </row>
    <row r="94" spans="2:18" outlineLevel="1">
      <c r="B94" s="159">
        <v>46138</v>
      </c>
      <c r="C94" s="65">
        <v>142.25</v>
      </c>
      <c r="D94" s="87">
        <f t="shared" si="2"/>
        <v>-8.5035198996306072E-3</v>
      </c>
      <c r="E94" s="53"/>
      <c r="F94" s="159">
        <v>46138</v>
      </c>
      <c r="G94" s="160">
        <v>23997.55</v>
      </c>
      <c r="H94" s="87">
        <f t="shared" si="3"/>
        <v>4.167721499124255E-3</v>
      </c>
      <c r="J94" s="69"/>
      <c r="K94" s="69" t="s">
        <v>135</v>
      </c>
      <c r="L94" s="69" t="s">
        <v>124</v>
      </c>
      <c r="M94" s="69" t="s">
        <v>136</v>
      </c>
      <c r="N94" s="69" t="s">
        <v>137</v>
      </c>
      <c r="O94" s="69" t="s">
        <v>138</v>
      </c>
      <c r="P94" s="69" t="s">
        <v>139</v>
      </c>
      <c r="Q94" s="69" t="s">
        <v>140</v>
      </c>
      <c r="R94" s="69" t="s">
        <v>141</v>
      </c>
    </row>
    <row r="95" spans="2:18" outlineLevel="1">
      <c r="B95" s="159">
        <v>46145</v>
      </c>
      <c r="C95" s="65">
        <v>144.69</v>
      </c>
      <c r="D95" s="87">
        <f t="shared" si="2"/>
        <v>1.7152899824253165E-2</v>
      </c>
      <c r="E95" s="53"/>
      <c r="F95" s="159">
        <v>46145</v>
      </c>
      <c r="G95" s="160">
        <v>24176.15</v>
      </c>
      <c r="H95" s="87">
        <f t="shared" si="3"/>
        <v>7.4424264143633234E-3</v>
      </c>
      <c r="J95" t="s">
        <v>129</v>
      </c>
      <c r="K95">
        <v>4.3723001120384627E-4</v>
      </c>
      <c r="L95">
        <v>4.5306414374452824E-3</v>
      </c>
      <c r="M95">
        <v>9.6505101372663368E-2</v>
      </c>
      <c r="N95">
        <v>0.92351305739858969</v>
      </c>
      <c r="O95">
        <v>-8.667434829797812E-3</v>
      </c>
      <c r="P95">
        <v>9.5418948522055062E-3</v>
      </c>
      <c r="Q95">
        <v>-8.667434829797812E-3</v>
      </c>
      <c r="R95">
        <v>9.5418948522055062E-3</v>
      </c>
    </row>
    <row r="96" spans="2:18" ht="15" outlineLevel="1" thickBot="1">
      <c r="B96" s="159">
        <v>46152</v>
      </c>
      <c r="C96" s="65">
        <v>134.47999999999999</v>
      </c>
      <c r="D96" s="87">
        <f t="shared" si="2"/>
        <v>-7.0564655470315873E-2</v>
      </c>
      <c r="E96" s="53"/>
      <c r="F96" s="159">
        <v>46152</v>
      </c>
      <c r="G96" s="160">
        <v>23643.5</v>
      </c>
      <c r="H96" s="87">
        <f t="shared" si="3"/>
        <v>-2.2032043977225579E-2</v>
      </c>
      <c r="J96" s="68" t="s">
        <v>272</v>
      </c>
      <c r="K96" s="68">
        <v>1.3213055319173241</v>
      </c>
      <c r="L96" s="68">
        <v>0.27284555038243657</v>
      </c>
      <c r="M96" s="68">
        <v>4.8426867510402998</v>
      </c>
      <c r="N96" s="68">
        <v>1.3239707311068976E-5</v>
      </c>
      <c r="O96" s="68">
        <v>0.77300187030788148</v>
      </c>
      <c r="P96" s="68">
        <v>1.8696091935267667</v>
      </c>
      <c r="Q96" s="68">
        <v>0.77300187030788148</v>
      </c>
      <c r="R96" s="68">
        <v>1.8696091935267667</v>
      </c>
    </row>
    <row r="97" spans="2:8" outlineLevel="1">
      <c r="B97" s="159">
        <v>46159</v>
      </c>
      <c r="C97" s="65">
        <v>139.47</v>
      </c>
      <c r="D97" s="87">
        <f t="shared" si="2"/>
        <v>3.7105889351576549E-2</v>
      </c>
      <c r="E97" s="53"/>
      <c r="F97" s="159">
        <v>46159</v>
      </c>
      <c r="G97" s="160">
        <v>23719.3</v>
      </c>
      <c r="H97" s="87">
        <f t="shared" si="3"/>
        <v>3.2059551250871454E-3</v>
      </c>
    </row>
    <row r="98" spans="2:8" outlineLevel="1">
      <c r="B98" s="159">
        <v>46166</v>
      </c>
      <c r="C98" s="65">
        <v>140.24</v>
      </c>
      <c r="D98" s="87">
        <f t="shared" si="2"/>
        <v>5.5209005520902021E-3</v>
      </c>
      <c r="E98" s="53"/>
      <c r="F98" s="159">
        <v>46166</v>
      </c>
      <c r="G98" s="160">
        <v>23547.75</v>
      </c>
      <c r="H98" s="87">
        <f t="shared" si="3"/>
        <v>-7.2325068615008981E-3</v>
      </c>
    </row>
    <row r="99" spans="2:8" outlineLevel="1">
      <c r="B99" s="159">
        <v>46173</v>
      </c>
      <c r="C99" s="65">
        <v>138.26</v>
      </c>
      <c r="D99" s="87">
        <f t="shared" si="2"/>
        <v>-1.4118653736451936E-2</v>
      </c>
      <c r="E99" s="53"/>
      <c r="F99" s="159">
        <v>46173</v>
      </c>
      <c r="G99" s="160">
        <v>23366.7</v>
      </c>
      <c r="H99" s="87">
        <f t="shared" si="3"/>
        <v>-7.6886326719113329E-3</v>
      </c>
    </row>
    <row r="100" spans="2:8" outlineLevel="1">
      <c r="B100" s="159">
        <v>46180</v>
      </c>
      <c r="C100" s="65">
        <v>140.94</v>
      </c>
      <c r="D100" s="87">
        <f t="shared" si="2"/>
        <v>1.9383769709243603E-2</v>
      </c>
      <c r="E100" s="53"/>
      <c r="F100" s="159">
        <v>46180</v>
      </c>
      <c r="G100" s="160">
        <v>23622.9</v>
      </c>
      <c r="H100" s="87">
        <f t="shared" si="3"/>
        <v>1.0964321020940027E-2</v>
      </c>
    </row>
    <row r="101" spans="2:8" outlineLevel="1">
      <c r="B101" s="159">
        <v>46187</v>
      </c>
      <c r="C101" s="65">
        <v>143.43</v>
      </c>
      <c r="D101" s="87">
        <f t="shared" si="2"/>
        <v>1.7667092379736182E-2</v>
      </c>
      <c r="E101" s="53"/>
      <c r="F101" s="159">
        <v>46187</v>
      </c>
      <c r="G101" s="160">
        <v>24013.1</v>
      </c>
      <c r="H101" s="87">
        <f t="shared" si="3"/>
        <v>1.6517870371546062E-2</v>
      </c>
    </row>
    <row r="102" spans="2:8" outlineLevel="1">
      <c r="B102" s="159">
        <v>46194</v>
      </c>
      <c r="C102" s="65">
        <v>143.88999999999999</v>
      </c>
      <c r="D102" s="87">
        <f t="shared" si="2"/>
        <v>3.2071393711217144E-3</v>
      </c>
      <c r="E102" s="53"/>
      <c r="F102" s="159">
        <v>46194</v>
      </c>
      <c r="G102" s="160">
        <v>24056</v>
      </c>
      <c r="H102" s="87">
        <f t="shared" si="3"/>
        <v>1.7865248551833801E-3</v>
      </c>
    </row>
    <row r="103" spans="2:8" outlineLevel="1">
      <c r="B103" s="159">
        <v>46201</v>
      </c>
      <c r="C103" s="65">
        <v>141.56</v>
      </c>
      <c r="D103" s="87">
        <f t="shared" si="2"/>
        <v>-1.6192925151157E-2</v>
      </c>
      <c r="E103" s="53"/>
      <c r="F103" s="159">
        <v>46201</v>
      </c>
      <c r="G103" s="160">
        <v>24270.85</v>
      </c>
      <c r="H103" s="87">
        <f t="shared" si="3"/>
        <v>8.9312437645492349E-3</v>
      </c>
    </row>
    <row r="104" spans="2:8" outlineLevel="1">
      <c r="B104" s="159">
        <v>46208</v>
      </c>
      <c r="C104" s="65">
        <v>138.96</v>
      </c>
      <c r="D104" s="87">
        <f t="shared" si="2"/>
        <v>-1.8366770274088728E-2</v>
      </c>
      <c r="E104" s="53"/>
      <c r="F104" s="159">
        <v>46208</v>
      </c>
      <c r="G104" s="160">
        <v>24206.9</v>
      </c>
      <c r="H104" s="87">
        <f t="shared" si="3"/>
        <v>-2.6348479760699428E-3</v>
      </c>
    </row>
    <row r="105" spans="2:8" outlineLevel="1">
      <c r="B105" s="159">
        <v>46215</v>
      </c>
      <c r="C105" s="65">
        <v>141.69</v>
      </c>
      <c r="D105" s="87">
        <f t="shared" si="2"/>
        <v>1.9645941278065626E-2</v>
      </c>
      <c r="E105" s="53"/>
      <c r="F105" s="159">
        <v>46215</v>
      </c>
      <c r="G105" s="160">
        <v>24334.3</v>
      </c>
      <c r="H105" s="87">
        <f t="shared" si="3"/>
        <v>5.262962213253175E-3</v>
      </c>
    </row>
    <row r="106" spans="2:8" outlineLevel="1">
      <c r="B106" s="159">
        <v>46222</v>
      </c>
      <c r="C106" s="65">
        <v>138.47</v>
      </c>
      <c r="D106" s="87">
        <f t="shared" si="2"/>
        <v>-2.2725668713388325E-2</v>
      </c>
      <c r="E106" s="53"/>
      <c r="F106" s="159">
        <v>46222</v>
      </c>
      <c r="G106" s="160">
        <v>23767.45</v>
      </c>
      <c r="H106" s="87">
        <f t="shared" si="3"/>
        <v>-2.3294280090242925E-2</v>
      </c>
    </row>
    <row r="107" spans="2:8" outlineLevel="1">
      <c r="B107" s="159">
        <v>46229</v>
      </c>
      <c r="C107" s="65">
        <v>140.16999999999999</v>
      </c>
      <c r="D107" s="87">
        <f t="shared" si="2"/>
        <v>1.2277027514985051E-2</v>
      </c>
      <c r="E107" s="53"/>
      <c r="F107" s="159">
        <v>46229</v>
      </c>
      <c r="G107" s="160">
        <v>24383.599999999999</v>
      </c>
      <c r="H107" s="87">
        <f t="shared" si="3"/>
        <v>2.5924110495656683E-2</v>
      </c>
    </row>
    <row r="108" spans="2:8" outlineLevel="1">
      <c r="B108" s="159">
        <v>46236</v>
      </c>
      <c r="C108" s="65">
        <v>143.38</v>
      </c>
      <c r="D108" s="87">
        <f t="shared" si="2"/>
        <v>2.2900763358778775E-2</v>
      </c>
      <c r="E108" s="53"/>
      <c r="F108" s="159">
        <v>46236</v>
      </c>
      <c r="G108" s="160">
        <v>24570.65</v>
      </c>
      <c r="H108" s="87">
        <f t="shared" si="3"/>
        <v>7.6711396184321323E-3</v>
      </c>
    </row>
    <row r="109" spans="2:8" outlineLevel="1">
      <c r="B109" s="159">
        <v>46243</v>
      </c>
      <c r="C109" s="65">
        <v>139.4</v>
      </c>
      <c r="D109" s="87">
        <f t="shared" si="2"/>
        <v>-2.7758404240479817E-2</v>
      </c>
      <c r="E109" s="53"/>
      <c r="F109" s="159">
        <v>46243</v>
      </c>
      <c r="G109" s="160">
        <v>24366</v>
      </c>
      <c r="H109" s="87">
        <f t="shared" si="3"/>
        <v>-8.3290429842108882E-3</v>
      </c>
    </row>
    <row r="110" spans="2:8" outlineLevel="1">
      <c r="B110" s="159">
        <v>46250</v>
      </c>
      <c r="C110" s="65">
        <v>135.9</v>
      </c>
      <c r="D110" s="87">
        <f t="shared" si="2"/>
        <v>-2.5107604017216678E-2</v>
      </c>
      <c r="E110" s="53"/>
      <c r="F110" s="159">
        <v>46250</v>
      </c>
      <c r="G110" s="160">
        <v>24252</v>
      </c>
      <c r="H110" s="87">
        <f t="shared" si="3"/>
        <v>-4.6786505786752253E-3</v>
      </c>
    </row>
    <row r="111" spans="2:8" outlineLevel="1">
      <c r="B111" s="159">
        <v>46257</v>
      </c>
      <c r="C111" s="65">
        <v>137.1</v>
      </c>
      <c r="D111" s="87">
        <f t="shared" si="2"/>
        <v>8.8300220750550107E-3</v>
      </c>
      <c r="E111" s="53"/>
      <c r="F111" s="159">
        <v>46257</v>
      </c>
      <c r="G111" s="160">
        <v>24175.65</v>
      </c>
      <c r="H111" s="87">
        <f t="shared" si="3"/>
        <v>-3.1481939633843936E-3</v>
      </c>
    </row>
    <row r="112" spans="2:8" outlineLevel="1">
      <c r="B112" s="159">
        <v>46264</v>
      </c>
      <c r="C112" s="65">
        <v>137.6</v>
      </c>
      <c r="D112" s="87">
        <f t="shared" si="2"/>
        <v>3.6469730123998012E-3</v>
      </c>
      <c r="E112" s="53"/>
      <c r="F112" s="159">
        <v>46264</v>
      </c>
      <c r="G112" s="160">
        <v>23897.7</v>
      </c>
      <c r="H112" s="87">
        <f t="shared" si="3"/>
        <v>-1.1497105558692322E-2</v>
      </c>
    </row>
    <row r="113" spans="2:11" outlineLevel="1">
      <c r="B113" s="159">
        <v>46271</v>
      </c>
      <c r="C113" s="65">
        <v>135.11000000000001</v>
      </c>
      <c r="D113" s="87">
        <f t="shared" si="2"/>
        <v>-1.8095930232557955E-2</v>
      </c>
      <c r="E113" s="53"/>
      <c r="F113" s="159">
        <v>46271</v>
      </c>
      <c r="G113" s="160">
        <v>23398.1</v>
      </c>
      <c r="H113" s="87">
        <f t="shared" si="3"/>
        <v>-2.0905777543445692E-2</v>
      </c>
    </row>
    <row r="114" spans="2:11" outlineLevel="1">
      <c r="B114" s="159">
        <v>46278</v>
      </c>
      <c r="C114" s="65">
        <v>137</v>
      </c>
      <c r="D114" s="87">
        <f t="shared" si="2"/>
        <v>1.3988601879949547E-2</v>
      </c>
      <c r="E114" s="53"/>
      <c r="F114" s="159">
        <v>46278</v>
      </c>
      <c r="G114" s="160">
        <v>23346.400000000001</v>
      </c>
      <c r="H114" s="87">
        <f t="shared" si="3"/>
        <v>-2.2095811198343807E-3</v>
      </c>
    </row>
    <row r="115" spans="2:11" outlineLevel="1">
      <c r="B115" s="159">
        <v>46285</v>
      </c>
      <c r="C115" s="65">
        <v>135.69999999999999</v>
      </c>
      <c r="D115" s="87">
        <f t="shared" si="2"/>
        <v>-9.4890510948906215E-3</v>
      </c>
      <c r="E115" s="53"/>
      <c r="F115" s="159">
        <v>46285</v>
      </c>
      <c r="G115" s="160">
        <v>23140.5</v>
      </c>
      <c r="H115" s="87">
        <f t="shared" si="3"/>
        <v>-8.8193468800329411E-3</v>
      </c>
    </row>
    <row r="118" spans="2:11">
      <c r="B118" s="198" t="s">
        <v>277</v>
      </c>
      <c r="C118" s="198"/>
      <c r="D118" s="198"/>
      <c r="F118" s="198" t="s">
        <v>267</v>
      </c>
      <c r="G118" s="198"/>
      <c r="H118" s="198"/>
      <c r="J118" s="198" t="s">
        <v>268</v>
      </c>
      <c r="K118" s="198"/>
    </row>
    <row r="119" spans="2:11" outlineLevel="1"/>
    <row r="120" spans="2:11" outlineLevel="1">
      <c r="B120" s="161" t="s">
        <v>263</v>
      </c>
      <c r="C120" s="162" t="s">
        <v>264</v>
      </c>
      <c r="D120" s="162" t="s">
        <v>265</v>
      </c>
      <c r="F120" s="161" t="s">
        <v>263</v>
      </c>
      <c r="G120" s="162" t="s">
        <v>264</v>
      </c>
      <c r="H120" s="162" t="s">
        <v>265</v>
      </c>
    </row>
    <row r="121" spans="2:11" outlineLevel="1">
      <c r="B121" s="159">
        <v>45928</v>
      </c>
      <c r="C121" s="65">
        <v>341.55</v>
      </c>
      <c r="E121" s="53"/>
      <c r="F121" s="159">
        <v>45928</v>
      </c>
      <c r="G121" s="160">
        <v>24894.25</v>
      </c>
      <c r="H121" s="160"/>
      <c r="J121" s="144" t="s">
        <v>269</v>
      </c>
      <c r="K121" s="164">
        <f>SLOPE(D122:D172,H122:H172)</f>
        <v>1.4626439657484469</v>
      </c>
    </row>
    <row r="122" spans="2:11" outlineLevel="1">
      <c r="B122" s="159">
        <v>45935</v>
      </c>
      <c r="C122" s="65">
        <v>338.7</v>
      </c>
      <c r="D122" s="87">
        <f>C122/C121-1</f>
        <v>-8.3443126921388666E-3</v>
      </c>
      <c r="E122" s="53"/>
      <c r="F122" s="159">
        <v>45935</v>
      </c>
      <c r="G122" s="160">
        <v>25285.35</v>
      </c>
      <c r="H122" s="87">
        <f>G122/G121-1</f>
        <v>1.5710455225604214E-2</v>
      </c>
      <c r="J122" s="144" t="s">
        <v>270</v>
      </c>
      <c r="K122" s="164" cm="1">
        <f t="array" ref="K122">_xlfn.COVARIANCE.S(D122:D172,H122:H172/_xlfn.VAR.S(H122:H172))</f>
        <v>1.4626439657484462</v>
      </c>
    </row>
    <row r="123" spans="2:11" outlineLevel="1">
      <c r="B123" s="159">
        <v>45942</v>
      </c>
      <c r="C123" s="65">
        <v>335.85</v>
      </c>
      <c r="D123" s="87">
        <f t="shared" ref="D123:D172" si="4">C123/C122-1</f>
        <v>-8.414526129317923E-3</v>
      </c>
      <c r="E123" s="53"/>
      <c r="F123" s="159">
        <v>45942</v>
      </c>
      <c r="G123" s="160">
        <v>25709.85</v>
      </c>
      <c r="H123" s="87">
        <f t="shared" ref="H123:H172" si="5">G123/G122-1</f>
        <v>1.6788377459675319E-2</v>
      </c>
      <c r="J123" s="144" t="s">
        <v>274</v>
      </c>
      <c r="K123" s="164">
        <f>K154</f>
        <v>1.4626439657484471</v>
      </c>
    </row>
    <row r="124" spans="2:11" outlineLevel="1">
      <c r="B124" s="159">
        <v>45949</v>
      </c>
      <c r="C124" s="65">
        <v>330.45</v>
      </c>
      <c r="D124" s="87">
        <f t="shared" si="4"/>
        <v>-1.6078606520768313E-2</v>
      </c>
      <c r="E124" s="53"/>
      <c r="F124" s="159">
        <v>45949</v>
      </c>
      <c r="G124" s="160">
        <v>25795.15</v>
      </c>
      <c r="H124" s="87">
        <f t="shared" si="5"/>
        <v>3.3177945417808274E-3</v>
      </c>
    </row>
    <row r="125" spans="2:11" outlineLevel="1">
      <c r="B125" s="159">
        <v>45956</v>
      </c>
      <c r="C125" s="65">
        <v>356.8</v>
      </c>
      <c r="D125" s="87">
        <f t="shared" si="4"/>
        <v>7.9739748827356793E-2</v>
      </c>
      <c r="E125" s="53"/>
      <c r="F125" s="159">
        <v>45956</v>
      </c>
      <c r="G125" s="160">
        <v>25722.1</v>
      </c>
      <c r="H125" s="87">
        <f t="shared" si="5"/>
        <v>-2.8319277073404203E-3</v>
      </c>
      <c r="J125" s="198" t="s">
        <v>279</v>
      </c>
      <c r="K125" s="198"/>
    </row>
    <row r="126" spans="2:11" outlineLevel="1">
      <c r="B126" s="159">
        <v>45963</v>
      </c>
      <c r="C126" s="65">
        <v>367.15</v>
      </c>
      <c r="D126" s="87">
        <f t="shared" si="4"/>
        <v>2.900784753363217E-2</v>
      </c>
      <c r="E126" s="53"/>
      <c r="F126" s="159">
        <v>45963</v>
      </c>
      <c r="G126" s="160">
        <v>25492.3</v>
      </c>
      <c r="H126" s="87">
        <f t="shared" si="5"/>
        <v>-8.9339517379996014E-3</v>
      </c>
      <c r="J126" s="158"/>
    </row>
    <row r="127" spans="2:11" outlineLevel="1">
      <c r="B127" s="159">
        <v>45970</v>
      </c>
      <c r="C127" s="65">
        <v>371.15</v>
      </c>
      <c r="D127" s="87">
        <f t="shared" si="4"/>
        <v>1.0894729674519876E-2</v>
      </c>
      <c r="E127" s="53"/>
      <c r="F127" s="159">
        <v>45970</v>
      </c>
      <c r="G127" s="160">
        <v>25910.05</v>
      </c>
      <c r="H127" s="87">
        <f t="shared" si="5"/>
        <v>1.6387301263518728E-2</v>
      </c>
      <c r="J127" t="s">
        <v>280</v>
      </c>
      <c r="K127" s="158">
        <f>K123</f>
        <v>1.4626439657484471</v>
      </c>
    </row>
    <row r="128" spans="2:11" outlineLevel="1">
      <c r="B128" s="159">
        <v>45977</v>
      </c>
      <c r="C128" s="65">
        <v>364.55</v>
      </c>
      <c r="D128" s="87">
        <f t="shared" si="4"/>
        <v>-1.7782567695001972E-2</v>
      </c>
      <c r="E128" s="53"/>
      <c r="F128" s="159">
        <v>45977</v>
      </c>
      <c r="G128" s="160">
        <v>26068.15</v>
      </c>
      <c r="H128" s="87">
        <f t="shared" si="5"/>
        <v>6.1018793865701415E-3</v>
      </c>
      <c r="J128" t="s">
        <v>281</v>
      </c>
      <c r="K128" s="53">
        <v>0.75</v>
      </c>
    </row>
    <row r="129" spans="2:11" outlineLevel="1">
      <c r="B129" s="159">
        <v>45984</v>
      </c>
      <c r="C129" s="65">
        <v>359.1</v>
      </c>
      <c r="D129" s="87">
        <f t="shared" si="4"/>
        <v>-1.4949938280071295E-2</v>
      </c>
      <c r="E129" s="53"/>
      <c r="F129" s="159">
        <v>45984</v>
      </c>
      <c r="G129" s="160">
        <v>26202.95</v>
      </c>
      <c r="H129" s="87">
        <f t="shared" si="5"/>
        <v>5.1710612375637233E-3</v>
      </c>
    </row>
    <row r="130" spans="2:11" outlineLevel="1">
      <c r="B130" s="159">
        <v>45991</v>
      </c>
      <c r="C130" s="65">
        <v>360.3</v>
      </c>
      <c r="D130" s="87">
        <f t="shared" si="4"/>
        <v>3.3416875522138678E-3</v>
      </c>
      <c r="E130" s="53"/>
      <c r="F130" s="159">
        <v>45991</v>
      </c>
      <c r="G130" s="160">
        <v>26186.45</v>
      </c>
      <c r="H130" s="87">
        <f t="shared" si="5"/>
        <v>-6.297000910202577E-4</v>
      </c>
      <c r="J130" t="s">
        <v>282</v>
      </c>
      <c r="K130" s="167">
        <v>1</v>
      </c>
    </row>
    <row r="131" spans="2:11" outlineLevel="1">
      <c r="B131" s="159">
        <v>45998</v>
      </c>
      <c r="C131" s="65">
        <v>365.05</v>
      </c>
      <c r="D131" s="87">
        <f t="shared" si="4"/>
        <v>1.3183458229253375E-2</v>
      </c>
      <c r="E131" s="53"/>
      <c r="F131" s="159">
        <v>45998</v>
      </c>
      <c r="G131" s="160">
        <v>26046.95</v>
      </c>
      <c r="H131" s="87">
        <f t="shared" si="5"/>
        <v>-5.3271825696113995E-3</v>
      </c>
      <c r="J131" t="s">
        <v>283</v>
      </c>
      <c r="K131" s="53">
        <v>0.25</v>
      </c>
    </row>
    <row r="132" spans="2:11" outlineLevel="1">
      <c r="B132" s="159">
        <v>46005</v>
      </c>
      <c r="C132" s="65">
        <v>365.95</v>
      </c>
      <c r="D132" s="87">
        <f t="shared" si="4"/>
        <v>2.4654156964798446E-3</v>
      </c>
      <c r="E132" s="53"/>
      <c r="F132" s="159">
        <v>46005</v>
      </c>
      <c r="G132" s="160">
        <v>25966.400000000001</v>
      </c>
      <c r="H132" s="87">
        <f t="shared" si="5"/>
        <v>-3.0924925951022475E-3</v>
      </c>
    </row>
    <row r="133" spans="2:11" outlineLevel="1">
      <c r="B133" s="159">
        <v>46012</v>
      </c>
      <c r="C133" s="65">
        <v>366</v>
      </c>
      <c r="D133" s="87">
        <f t="shared" si="4"/>
        <v>1.3663068725233707E-4</v>
      </c>
      <c r="E133" s="53"/>
      <c r="F133" s="159">
        <v>46012</v>
      </c>
      <c r="G133" s="160">
        <v>26042.3</v>
      </c>
      <c r="H133" s="87">
        <f t="shared" si="5"/>
        <v>2.9230081952060782E-3</v>
      </c>
      <c r="J133" s="144" t="s">
        <v>284</v>
      </c>
      <c r="K133" s="164">
        <f>(K127*K128)+(K130*K131)</f>
        <v>1.3469829743113353</v>
      </c>
    </row>
    <row r="134" spans="2:11" outlineLevel="1">
      <c r="B134" s="159">
        <v>46019</v>
      </c>
      <c r="C134" s="65">
        <v>381.45</v>
      </c>
      <c r="D134" s="87">
        <f t="shared" si="4"/>
        <v>4.221311475409828E-2</v>
      </c>
      <c r="E134" s="53"/>
      <c r="F134" s="159">
        <v>46019</v>
      </c>
      <c r="G134" s="160">
        <v>26328.55</v>
      </c>
      <c r="H134" s="87">
        <f t="shared" si="5"/>
        <v>1.0991732681061128E-2</v>
      </c>
    </row>
    <row r="135" spans="2:11" outlineLevel="1">
      <c r="B135" s="159">
        <v>46026</v>
      </c>
      <c r="C135" s="65">
        <v>354.15</v>
      </c>
      <c r="D135" s="87">
        <f t="shared" si="4"/>
        <v>-7.1569012976799073E-2</v>
      </c>
      <c r="E135" s="53"/>
      <c r="F135" s="159">
        <v>46026</v>
      </c>
      <c r="G135" s="160">
        <v>25683.3</v>
      </c>
      <c r="H135" s="87">
        <f t="shared" si="5"/>
        <v>-2.4507616256877029E-2</v>
      </c>
    </row>
    <row r="136" spans="2:11" outlineLevel="1">
      <c r="B136" s="159">
        <v>46033</v>
      </c>
      <c r="C136" s="65">
        <v>363.2</v>
      </c>
      <c r="D136" s="87">
        <f t="shared" si="4"/>
        <v>2.5554143724410672E-2</v>
      </c>
      <c r="E136" s="53"/>
      <c r="F136" s="159">
        <v>46033</v>
      </c>
      <c r="G136" s="160">
        <v>25694.35</v>
      </c>
      <c r="H136" s="87">
        <f t="shared" si="5"/>
        <v>4.3024066222008273E-4</v>
      </c>
    </row>
    <row r="137" spans="2:11" outlineLevel="1">
      <c r="B137" s="159">
        <v>46040</v>
      </c>
      <c r="C137" s="65">
        <v>349.15</v>
      </c>
      <c r="D137" s="87">
        <f t="shared" si="4"/>
        <v>-3.8683920704845831E-2</v>
      </c>
      <c r="E137" s="53"/>
      <c r="F137" s="159">
        <v>46040</v>
      </c>
      <c r="G137" s="160">
        <v>25048.65</v>
      </c>
      <c r="H137" s="87">
        <f t="shared" si="5"/>
        <v>-2.5130038315816394E-2</v>
      </c>
      <c r="J137" t="s">
        <v>119</v>
      </c>
    </row>
    <row r="138" spans="2:11" ht="15" outlineLevel="1" thickBot="1">
      <c r="B138" s="159">
        <v>46047</v>
      </c>
      <c r="C138" s="65">
        <v>364.5</v>
      </c>
      <c r="D138" s="87">
        <f t="shared" si="4"/>
        <v>4.39639123585851E-2</v>
      </c>
      <c r="E138" s="53"/>
      <c r="F138" s="159">
        <v>46047</v>
      </c>
      <c r="G138" s="160">
        <v>25320.65</v>
      </c>
      <c r="H138" s="87">
        <f t="shared" si="5"/>
        <v>1.0858868641623332E-2</v>
      </c>
    </row>
    <row r="139" spans="2:11" outlineLevel="1">
      <c r="B139" s="159">
        <v>46054</v>
      </c>
      <c r="C139" s="65">
        <v>386.35</v>
      </c>
      <c r="D139" s="87">
        <f t="shared" si="4"/>
        <v>5.994513031550075E-2</v>
      </c>
      <c r="E139" s="53"/>
      <c r="F139" s="159">
        <v>46054</v>
      </c>
      <c r="G139" s="160">
        <v>25693.7</v>
      </c>
      <c r="H139" s="87">
        <f t="shared" si="5"/>
        <v>1.4733034104574605E-2</v>
      </c>
      <c r="J139" s="70" t="s">
        <v>120</v>
      </c>
      <c r="K139" s="70"/>
    </row>
    <row r="140" spans="2:11" outlineLevel="1">
      <c r="B140" s="159">
        <v>46061</v>
      </c>
      <c r="C140" s="65">
        <v>374.1</v>
      </c>
      <c r="D140" s="87">
        <f t="shared" si="4"/>
        <v>-3.1707001423579628E-2</v>
      </c>
      <c r="E140" s="53"/>
      <c r="F140" s="159">
        <v>46061</v>
      </c>
      <c r="G140" s="160">
        <v>25471.1</v>
      </c>
      <c r="H140" s="87">
        <f t="shared" si="5"/>
        <v>-8.6636023616685209E-3</v>
      </c>
      <c r="J140" t="s">
        <v>121</v>
      </c>
      <c r="K140">
        <v>0.63524663846183616</v>
      </c>
    </row>
    <row r="141" spans="2:11" outlineLevel="1">
      <c r="B141" s="159">
        <v>46068</v>
      </c>
      <c r="C141" s="65">
        <v>366.3</v>
      </c>
      <c r="D141" s="87">
        <f t="shared" si="4"/>
        <v>-2.0850040096231037E-2</v>
      </c>
      <c r="E141" s="53"/>
      <c r="F141" s="159">
        <v>46068</v>
      </c>
      <c r="G141" s="160">
        <v>25571.25</v>
      </c>
      <c r="H141" s="87">
        <f t="shared" si="5"/>
        <v>3.9319071418195684E-3</v>
      </c>
      <c r="J141" t="s">
        <v>122</v>
      </c>
      <c r="K141">
        <v>0.40353829167706284</v>
      </c>
    </row>
    <row r="142" spans="2:11" outlineLevel="1">
      <c r="B142" s="159">
        <v>46075</v>
      </c>
      <c r="C142" s="65">
        <v>385.4</v>
      </c>
      <c r="D142" s="87">
        <f t="shared" si="4"/>
        <v>5.2143052143052149E-2</v>
      </c>
      <c r="E142" s="53"/>
      <c r="F142" s="159">
        <v>46075</v>
      </c>
      <c r="G142" s="160">
        <v>25178.65</v>
      </c>
      <c r="H142" s="87">
        <f t="shared" si="5"/>
        <v>-1.5353179840641329E-2</v>
      </c>
      <c r="J142" t="s">
        <v>123</v>
      </c>
      <c r="K142">
        <v>0.391365603752105</v>
      </c>
    </row>
    <row r="143" spans="2:11" outlineLevel="1">
      <c r="B143" s="159">
        <v>46082</v>
      </c>
      <c r="C143" s="65">
        <v>352.75</v>
      </c>
      <c r="D143" s="87">
        <f t="shared" si="4"/>
        <v>-8.4717176959003604E-2</v>
      </c>
      <c r="E143" s="53"/>
      <c r="F143" s="159">
        <v>46082</v>
      </c>
      <c r="G143" s="160">
        <v>24450.45</v>
      </c>
      <c r="H143" s="87">
        <f t="shared" si="5"/>
        <v>-2.892132818876314E-2</v>
      </c>
      <c r="J143" t="s">
        <v>124</v>
      </c>
      <c r="K143">
        <v>3.0032666602736846E-2</v>
      </c>
    </row>
    <row r="144" spans="2:11" ht="15" outlineLevel="1" thickBot="1">
      <c r="B144" s="159">
        <v>46089</v>
      </c>
      <c r="C144" s="65">
        <v>319.3</v>
      </c>
      <c r="D144" s="87">
        <f t="shared" si="4"/>
        <v>-9.4826364280651942E-2</v>
      </c>
      <c r="E144" s="53"/>
      <c r="F144" s="159">
        <v>46089</v>
      </c>
      <c r="G144" s="160">
        <v>23151.1</v>
      </c>
      <c r="H144" s="87">
        <f t="shared" si="5"/>
        <v>-5.3142171207482991E-2</v>
      </c>
      <c r="J144" s="68" t="s">
        <v>125</v>
      </c>
      <c r="K144" s="68">
        <v>51</v>
      </c>
    </row>
    <row r="145" spans="2:18" outlineLevel="1">
      <c r="B145" s="159">
        <v>46096</v>
      </c>
      <c r="C145" s="65">
        <v>287.8</v>
      </c>
      <c r="D145" s="87">
        <f t="shared" si="4"/>
        <v>-9.8653304102724659E-2</v>
      </c>
      <c r="E145" s="53"/>
      <c r="F145" s="159">
        <v>46096</v>
      </c>
      <c r="G145" s="160">
        <v>23114.5</v>
      </c>
      <c r="H145" s="87">
        <f t="shared" si="5"/>
        <v>-1.5809184012853805E-3</v>
      </c>
    </row>
    <row r="146" spans="2:18" ht="15" outlineLevel="1" thickBot="1">
      <c r="B146" s="159">
        <v>46103</v>
      </c>
      <c r="C146" s="65">
        <v>282.7</v>
      </c>
      <c r="D146" s="87">
        <f t="shared" si="4"/>
        <v>-1.7720639332870158E-2</v>
      </c>
      <c r="E146" s="53"/>
      <c r="F146" s="159">
        <v>46103</v>
      </c>
      <c r="G146" s="160">
        <v>22819.599999999999</v>
      </c>
      <c r="H146" s="87">
        <f t="shared" si="5"/>
        <v>-1.275822535637805E-2</v>
      </c>
      <c r="J146" t="s">
        <v>126</v>
      </c>
    </row>
    <row r="147" spans="2:18" outlineLevel="1">
      <c r="B147" s="159">
        <v>46110</v>
      </c>
      <c r="C147" s="65">
        <v>278.14999999999998</v>
      </c>
      <c r="D147" s="87">
        <f t="shared" si="4"/>
        <v>-1.6094800141492782E-2</v>
      </c>
      <c r="E147" s="53"/>
      <c r="F147" s="159">
        <v>46110</v>
      </c>
      <c r="G147" s="160">
        <v>22713.1</v>
      </c>
      <c r="H147" s="87">
        <f t="shared" si="5"/>
        <v>-4.6670406142088616E-3</v>
      </c>
      <c r="J147" s="69"/>
      <c r="K147" s="69" t="s">
        <v>130</v>
      </c>
      <c r="L147" s="69" t="s">
        <v>131</v>
      </c>
      <c r="M147" s="69" t="s">
        <v>132</v>
      </c>
      <c r="N147" s="69" t="s">
        <v>133</v>
      </c>
      <c r="O147" s="69" t="s">
        <v>134</v>
      </c>
    </row>
    <row r="148" spans="2:18" outlineLevel="1">
      <c r="B148" s="159">
        <v>46117</v>
      </c>
      <c r="C148" s="65">
        <v>299.35000000000002</v>
      </c>
      <c r="D148" s="87">
        <f t="shared" si="4"/>
        <v>7.6217868056803972E-2</v>
      </c>
      <c r="E148" s="53"/>
      <c r="F148" s="159">
        <v>46117</v>
      </c>
      <c r="G148" s="160">
        <v>24050.6</v>
      </c>
      <c r="H148" s="87">
        <f t="shared" si="5"/>
        <v>5.8886721759689342E-2</v>
      </c>
      <c r="J148" t="s">
        <v>127</v>
      </c>
      <c r="K148">
        <v>1</v>
      </c>
      <c r="L148">
        <v>2.9901023412043475E-2</v>
      </c>
      <c r="M148">
        <v>2.9901023412043475E-2</v>
      </c>
      <c r="N148">
        <v>33.151124399540414</v>
      </c>
      <c r="O148">
        <v>5.5162463669797838E-7</v>
      </c>
    </row>
    <row r="149" spans="2:18" outlineLevel="1">
      <c r="B149" s="159">
        <v>46124</v>
      </c>
      <c r="C149" s="65">
        <v>312.10000000000002</v>
      </c>
      <c r="D149" s="87">
        <f t="shared" si="4"/>
        <v>4.2592283280440846E-2</v>
      </c>
      <c r="E149" s="53"/>
      <c r="F149" s="159">
        <v>46124</v>
      </c>
      <c r="G149" s="160">
        <v>24353.55</v>
      </c>
      <c r="H149" s="87">
        <f t="shared" si="5"/>
        <v>1.2596359342386565E-2</v>
      </c>
      <c r="J149" t="s">
        <v>128</v>
      </c>
      <c r="K149">
        <v>49</v>
      </c>
      <c r="L149">
        <v>4.4196092100286112E-2</v>
      </c>
      <c r="M149">
        <v>9.0196106327114511E-4</v>
      </c>
    </row>
    <row r="150" spans="2:18" ht="15" outlineLevel="1" thickBot="1">
      <c r="B150" s="159">
        <v>46131</v>
      </c>
      <c r="C150" s="65">
        <v>308.10000000000002</v>
      </c>
      <c r="D150" s="87">
        <f t="shared" si="4"/>
        <v>-1.2816404998397979E-2</v>
      </c>
      <c r="E150" s="53"/>
      <c r="F150" s="159">
        <v>46131</v>
      </c>
      <c r="G150" s="160">
        <v>23897.95</v>
      </c>
      <c r="H150" s="87">
        <f t="shared" si="5"/>
        <v>-1.8707744866764742E-2</v>
      </c>
      <c r="J150" s="68" t="s">
        <v>35</v>
      </c>
      <c r="K150" s="68">
        <v>50</v>
      </c>
      <c r="L150" s="68">
        <v>7.4097115512329587E-2</v>
      </c>
      <c r="M150" s="68"/>
      <c r="N150" s="68"/>
      <c r="O150" s="68"/>
    </row>
    <row r="151" spans="2:18" ht="15" outlineLevel="1" thickBot="1">
      <c r="B151" s="159">
        <v>46138</v>
      </c>
      <c r="C151" s="65">
        <v>300.45</v>
      </c>
      <c r="D151" s="87">
        <f t="shared" si="4"/>
        <v>-2.4829600778968008E-2</v>
      </c>
      <c r="E151" s="53"/>
      <c r="F151" s="159">
        <v>46138</v>
      </c>
      <c r="G151" s="160">
        <v>23997.55</v>
      </c>
      <c r="H151" s="87">
        <f t="shared" si="5"/>
        <v>4.167721499124255E-3</v>
      </c>
    </row>
    <row r="152" spans="2:18" outlineLevel="1">
      <c r="B152" s="159">
        <v>46145</v>
      </c>
      <c r="C152" s="65">
        <v>302.75</v>
      </c>
      <c r="D152" s="87">
        <f t="shared" si="4"/>
        <v>7.6551838908305303E-3</v>
      </c>
      <c r="E152" s="53"/>
      <c r="F152" s="159">
        <v>46145</v>
      </c>
      <c r="G152" s="160">
        <v>24176.15</v>
      </c>
      <c r="H152" s="87">
        <f t="shared" si="5"/>
        <v>7.4424264143633234E-3</v>
      </c>
      <c r="J152" s="69"/>
      <c r="K152" s="69" t="s">
        <v>135</v>
      </c>
      <c r="L152" s="69" t="s">
        <v>124</v>
      </c>
      <c r="M152" s="69" t="s">
        <v>136</v>
      </c>
      <c r="N152" s="69" t="s">
        <v>137</v>
      </c>
      <c r="O152" s="69" t="s">
        <v>138</v>
      </c>
      <c r="P152" s="69" t="s">
        <v>139</v>
      </c>
      <c r="Q152" s="69" t="s">
        <v>140</v>
      </c>
      <c r="R152" s="69" t="s">
        <v>141</v>
      </c>
    </row>
    <row r="153" spans="2:18" outlineLevel="1">
      <c r="B153" s="159">
        <v>46152</v>
      </c>
      <c r="C153" s="65">
        <v>284.45</v>
      </c>
      <c r="D153" s="87">
        <f t="shared" si="4"/>
        <v>-6.0445912469033858E-2</v>
      </c>
      <c r="E153" s="53"/>
      <c r="F153" s="159">
        <v>46152</v>
      </c>
      <c r="G153" s="160">
        <v>23643.5</v>
      </c>
      <c r="H153" s="87">
        <f t="shared" si="5"/>
        <v>-2.2032043977225579E-2</v>
      </c>
      <c r="J153" t="s">
        <v>129</v>
      </c>
      <c r="K153">
        <v>6.3650034962461975E-4</v>
      </c>
      <c r="L153">
        <v>4.2182499432802233E-3</v>
      </c>
      <c r="M153">
        <v>0.15089204247808516</v>
      </c>
      <c r="N153">
        <v>0.88068035992203231</v>
      </c>
      <c r="O153">
        <v>-7.8403902804131346E-3</v>
      </c>
      <c r="P153">
        <v>9.1133909796623728E-3</v>
      </c>
      <c r="Q153">
        <v>-7.8403902804131346E-3</v>
      </c>
      <c r="R153">
        <v>9.1133909796623728E-3</v>
      </c>
    </row>
    <row r="154" spans="2:18" ht="15" outlineLevel="1" thickBot="1">
      <c r="B154" s="159">
        <v>46159</v>
      </c>
      <c r="C154" s="65">
        <v>295.60000000000002</v>
      </c>
      <c r="D154" s="87">
        <f t="shared" si="4"/>
        <v>3.9198453155211865E-2</v>
      </c>
      <c r="E154" s="53"/>
      <c r="F154" s="159">
        <v>46159</v>
      </c>
      <c r="G154" s="160">
        <v>23719.3</v>
      </c>
      <c r="H154" s="87">
        <f t="shared" si="5"/>
        <v>3.2059551250871454E-3</v>
      </c>
      <c r="J154" s="68" t="s">
        <v>272</v>
      </c>
      <c r="K154" s="68">
        <v>1.4626439657484471</v>
      </c>
      <c r="L154" s="68">
        <v>0.25403262282304023</v>
      </c>
      <c r="M154" s="68">
        <v>5.7577013121158407</v>
      </c>
      <c r="N154" s="68">
        <v>5.516246366979714E-7</v>
      </c>
      <c r="O154" s="68">
        <v>0.95214629750027358</v>
      </c>
      <c r="P154" s="68">
        <v>1.9731416339966206</v>
      </c>
      <c r="Q154" s="68">
        <v>0.95214629750027358</v>
      </c>
      <c r="R154" s="68">
        <v>1.9731416339966206</v>
      </c>
    </row>
    <row r="155" spans="2:18" outlineLevel="1">
      <c r="B155" s="159">
        <v>46166</v>
      </c>
      <c r="C155" s="65">
        <v>298.10000000000002</v>
      </c>
      <c r="D155" s="87">
        <f t="shared" si="4"/>
        <v>8.4573748308525154E-3</v>
      </c>
      <c r="E155" s="53"/>
      <c r="F155" s="159">
        <v>46166</v>
      </c>
      <c r="G155" s="160">
        <v>23547.75</v>
      </c>
      <c r="H155" s="87">
        <f t="shared" si="5"/>
        <v>-7.2325068615008981E-3</v>
      </c>
    </row>
    <row r="156" spans="2:18" outlineLevel="1">
      <c r="B156" s="159">
        <v>46173</v>
      </c>
      <c r="C156" s="65">
        <v>295</v>
      </c>
      <c r="D156" s="87">
        <f t="shared" si="4"/>
        <v>-1.0399194901040021E-2</v>
      </c>
      <c r="E156" s="53"/>
      <c r="F156" s="159">
        <v>46173</v>
      </c>
      <c r="G156" s="160">
        <v>23366.7</v>
      </c>
      <c r="H156" s="87">
        <f t="shared" si="5"/>
        <v>-7.6886326719113329E-3</v>
      </c>
    </row>
    <row r="157" spans="2:18" outlineLevel="1">
      <c r="B157" s="159">
        <v>46180</v>
      </c>
      <c r="C157" s="65">
        <v>302.35000000000002</v>
      </c>
      <c r="D157" s="87">
        <f t="shared" si="4"/>
        <v>2.4915254237288131E-2</v>
      </c>
      <c r="E157" s="53"/>
      <c r="F157" s="159">
        <v>46180</v>
      </c>
      <c r="G157" s="160">
        <v>23622.9</v>
      </c>
      <c r="H157" s="87">
        <f t="shared" si="5"/>
        <v>1.0964321020940027E-2</v>
      </c>
    </row>
    <row r="158" spans="2:18" outlineLevel="1">
      <c r="B158" s="159">
        <v>46187</v>
      </c>
      <c r="C158" s="65">
        <v>306.60000000000002</v>
      </c>
      <c r="D158" s="87">
        <f t="shared" si="4"/>
        <v>1.4056556970398537E-2</v>
      </c>
      <c r="E158" s="53"/>
      <c r="F158" s="159">
        <v>46187</v>
      </c>
      <c r="G158" s="160">
        <v>24013.1</v>
      </c>
      <c r="H158" s="87">
        <f t="shared" si="5"/>
        <v>1.6517870371546062E-2</v>
      </c>
    </row>
    <row r="159" spans="2:18" outlineLevel="1">
      <c r="B159" s="159">
        <v>46194</v>
      </c>
      <c r="C159" s="65">
        <v>309.75</v>
      </c>
      <c r="D159" s="87">
        <f t="shared" si="4"/>
        <v>1.0273972602739656E-2</v>
      </c>
      <c r="E159" s="53"/>
      <c r="F159" s="159">
        <v>46194</v>
      </c>
      <c r="G159" s="160">
        <v>24056</v>
      </c>
      <c r="H159" s="87">
        <f t="shared" si="5"/>
        <v>1.7865248551833801E-3</v>
      </c>
    </row>
    <row r="160" spans="2:18" outlineLevel="1">
      <c r="B160" s="159">
        <v>46201</v>
      </c>
      <c r="C160" s="65">
        <v>308.14999999999998</v>
      </c>
      <c r="D160" s="87">
        <f t="shared" si="4"/>
        <v>-5.1654560129137383E-3</v>
      </c>
      <c r="E160" s="53"/>
      <c r="F160" s="159">
        <v>46201</v>
      </c>
      <c r="G160" s="160">
        <v>24270.85</v>
      </c>
      <c r="H160" s="87">
        <f t="shared" si="5"/>
        <v>8.9312437645492349E-3</v>
      </c>
    </row>
    <row r="161" spans="2:11" outlineLevel="1">
      <c r="B161" s="159">
        <v>46208</v>
      </c>
      <c r="C161" s="65">
        <v>309.75</v>
      </c>
      <c r="D161" s="87">
        <f t="shared" si="4"/>
        <v>5.1922764887231132E-3</v>
      </c>
      <c r="E161" s="53"/>
      <c r="F161" s="159">
        <v>46208</v>
      </c>
      <c r="G161" s="160">
        <v>24206.9</v>
      </c>
      <c r="H161" s="87">
        <f t="shared" si="5"/>
        <v>-2.6348479760699428E-3</v>
      </c>
    </row>
    <row r="162" spans="2:11" outlineLevel="1">
      <c r="B162" s="159">
        <v>46215</v>
      </c>
      <c r="C162" s="65">
        <v>315.55</v>
      </c>
      <c r="D162" s="87">
        <f t="shared" si="4"/>
        <v>1.8724778046812052E-2</v>
      </c>
      <c r="E162" s="53"/>
      <c r="F162" s="159">
        <v>46215</v>
      </c>
      <c r="G162" s="160">
        <v>24334.3</v>
      </c>
      <c r="H162" s="87">
        <f t="shared" si="5"/>
        <v>5.262962213253175E-3</v>
      </c>
    </row>
    <row r="163" spans="2:11" outlineLevel="1">
      <c r="B163" s="159">
        <v>46222</v>
      </c>
      <c r="C163" s="65">
        <v>310.14999999999998</v>
      </c>
      <c r="D163" s="87">
        <f t="shared" si="4"/>
        <v>-1.711297734115047E-2</v>
      </c>
      <c r="E163" s="53"/>
      <c r="F163" s="159">
        <v>46222</v>
      </c>
      <c r="G163" s="160">
        <v>23767.45</v>
      </c>
      <c r="H163" s="87">
        <f t="shared" si="5"/>
        <v>-2.3294280090242925E-2</v>
      </c>
    </row>
    <row r="164" spans="2:11" outlineLevel="1">
      <c r="B164" s="159">
        <v>46229</v>
      </c>
      <c r="C164" s="65">
        <v>319.75</v>
      </c>
      <c r="D164" s="87">
        <f t="shared" si="4"/>
        <v>3.0952764791230214E-2</v>
      </c>
      <c r="E164" s="53"/>
      <c r="F164" s="159">
        <v>46229</v>
      </c>
      <c r="G164" s="160">
        <v>24383.599999999999</v>
      </c>
      <c r="H164" s="87">
        <f t="shared" si="5"/>
        <v>2.5924110495656683E-2</v>
      </c>
    </row>
    <row r="165" spans="2:11" outlineLevel="1">
      <c r="B165" s="159">
        <v>46236</v>
      </c>
      <c r="C165" s="65">
        <v>321</v>
      </c>
      <c r="D165" s="87">
        <f t="shared" si="4"/>
        <v>3.9093041438624798E-3</v>
      </c>
      <c r="E165" s="53"/>
      <c r="F165" s="159">
        <v>46236</v>
      </c>
      <c r="G165" s="160">
        <v>24570.65</v>
      </c>
      <c r="H165" s="87">
        <f t="shared" si="5"/>
        <v>7.6711396184321323E-3</v>
      </c>
    </row>
    <row r="166" spans="2:11" outlineLevel="1">
      <c r="B166" s="159">
        <v>46243</v>
      </c>
      <c r="C166" s="65">
        <v>319.45</v>
      </c>
      <c r="D166" s="87">
        <f t="shared" si="4"/>
        <v>-4.8286604361370555E-3</v>
      </c>
      <c r="E166" s="53"/>
      <c r="F166" s="159">
        <v>46243</v>
      </c>
      <c r="G166" s="160">
        <v>24366</v>
      </c>
      <c r="H166" s="87">
        <f t="shared" si="5"/>
        <v>-8.3290429842108882E-3</v>
      </c>
    </row>
    <row r="167" spans="2:11" outlineLevel="1">
      <c r="B167" s="159">
        <v>46250</v>
      </c>
      <c r="C167" s="65">
        <v>311</v>
      </c>
      <c r="D167" s="87">
        <f t="shared" si="4"/>
        <v>-2.6451713883236749E-2</v>
      </c>
      <c r="E167" s="53"/>
      <c r="F167" s="159">
        <v>46250</v>
      </c>
      <c r="G167" s="160">
        <v>24252</v>
      </c>
      <c r="H167" s="87">
        <f t="shared" si="5"/>
        <v>-4.6786505786752253E-3</v>
      </c>
    </row>
    <row r="168" spans="2:11" outlineLevel="1">
      <c r="B168" s="159">
        <v>46257</v>
      </c>
      <c r="C168" s="65">
        <v>319.25</v>
      </c>
      <c r="D168" s="87">
        <f t="shared" si="4"/>
        <v>2.6527331189710512E-2</v>
      </c>
      <c r="E168" s="53"/>
      <c r="F168" s="159">
        <v>46257</v>
      </c>
      <c r="G168" s="160">
        <v>24175.65</v>
      </c>
      <c r="H168" s="87">
        <f t="shared" si="5"/>
        <v>-3.1481939633843936E-3</v>
      </c>
    </row>
    <row r="169" spans="2:11" outlineLevel="1">
      <c r="B169" s="159">
        <v>46264</v>
      </c>
      <c r="C169" s="65">
        <v>315.7</v>
      </c>
      <c r="D169" s="87">
        <f t="shared" si="4"/>
        <v>-1.1119812059514511E-2</v>
      </c>
      <c r="E169" s="53"/>
      <c r="F169" s="159">
        <v>46264</v>
      </c>
      <c r="G169" s="160">
        <v>23897.7</v>
      </c>
      <c r="H169" s="87">
        <f t="shared" si="5"/>
        <v>-1.1497105558692322E-2</v>
      </c>
    </row>
    <row r="170" spans="2:11" outlineLevel="1">
      <c r="B170" s="159">
        <v>46271</v>
      </c>
      <c r="C170" s="65">
        <v>304.5</v>
      </c>
      <c r="D170" s="87">
        <f t="shared" si="4"/>
        <v>-3.5476718403547602E-2</v>
      </c>
      <c r="E170" s="53"/>
      <c r="F170" s="159">
        <v>46271</v>
      </c>
      <c r="G170" s="160">
        <v>23398.1</v>
      </c>
      <c r="H170" s="87">
        <f t="shared" si="5"/>
        <v>-2.0905777543445692E-2</v>
      </c>
    </row>
    <row r="171" spans="2:11" outlineLevel="1">
      <c r="B171" s="159">
        <v>46278</v>
      </c>
      <c r="C171" s="65">
        <v>314</v>
      </c>
      <c r="D171" s="87">
        <f t="shared" si="4"/>
        <v>3.1198686371100237E-2</v>
      </c>
      <c r="E171" s="53"/>
      <c r="F171" s="159">
        <v>46278</v>
      </c>
      <c r="G171" s="160">
        <v>23346.400000000001</v>
      </c>
      <c r="H171" s="87">
        <f t="shared" si="5"/>
        <v>-2.2095811198343807E-3</v>
      </c>
    </row>
    <row r="172" spans="2:11" outlineLevel="1">
      <c r="B172" s="159">
        <v>46285</v>
      </c>
      <c r="C172" s="65">
        <v>308.5</v>
      </c>
      <c r="D172" s="87">
        <f t="shared" si="4"/>
        <v>-1.7515923566879033E-2</v>
      </c>
      <c r="E172" s="53"/>
      <c r="F172" s="159">
        <v>46285</v>
      </c>
      <c r="G172" s="160">
        <v>23140.5</v>
      </c>
      <c r="H172" s="87">
        <f t="shared" si="5"/>
        <v>-8.8193468800329411E-3</v>
      </c>
    </row>
    <row r="175" spans="2:11">
      <c r="B175" s="198" t="s">
        <v>278</v>
      </c>
      <c r="C175" s="198"/>
      <c r="D175" s="198"/>
      <c r="F175" s="198" t="s">
        <v>267</v>
      </c>
      <c r="G175" s="198"/>
      <c r="H175" s="198"/>
      <c r="J175" s="198" t="s">
        <v>268</v>
      </c>
      <c r="K175" s="198"/>
    </row>
    <row r="177" spans="2:11">
      <c r="B177" s="161" t="s">
        <v>263</v>
      </c>
      <c r="C177" s="162" t="s">
        <v>264</v>
      </c>
      <c r="D177" s="162" t="s">
        <v>265</v>
      </c>
      <c r="F177" s="161" t="s">
        <v>263</v>
      </c>
      <c r="G177" s="162" t="s">
        <v>264</v>
      </c>
      <c r="H177" s="162" t="s">
        <v>265</v>
      </c>
    </row>
    <row r="178" spans="2:11">
      <c r="B178" s="159">
        <v>45928</v>
      </c>
      <c r="C178" s="65">
        <v>446.3</v>
      </c>
      <c r="E178" s="53"/>
      <c r="F178" s="159">
        <v>45928</v>
      </c>
      <c r="G178" s="160">
        <v>24894.25</v>
      </c>
      <c r="H178" s="160"/>
      <c r="J178" s="144" t="s">
        <v>269</v>
      </c>
      <c r="K178" s="164">
        <f>SLOPE(D179:D229,H179:H229)</f>
        <v>1.7370546725674363</v>
      </c>
    </row>
    <row r="179" spans="2:11">
      <c r="B179" s="159">
        <v>45935</v>
      </c>
      <c r="C179" s="65">
        <v>452.5</v>
      </c>
      <c r="D179" s="87">
        <f>C179/C178-1</f>
        <v>1.3892000896258194E-2</v>
      </c>
      <c r="E179" s="53"/>
      <c r="F179" s="159">
        <v>45935</v>
      </c>
      <c r="G179" s="160">
        <v>25285.35</v>
      </c>
      <c r="H179" s="87">
        <f>G179/G178-1</f>
        <v>1.5710455225604214E-2</v>
      </c>
      <c r="J179" s="144" t="s">
        <v>270</v>
      </c>
      <c r="K179" s="164" cm="1">
        <f t="array" ref="K179">_xlfn.COVARIANCE.S(D179:D229,H179:H229/_xlfn.VAR.S(H179:H229))</f>
        <v>1.737054672567435</v>
      </c>
    </row>
    <row r="180" spans="2:11">
      <c r="B180" s="159">
        <v>45942</v>
      </c>
      <c r="C180" s="65">
        <v>448.6</v>
      </c>
      <c r="D180" s="87">
        <f t="shared" ref="D180:D229" si="6">C180/C179-1</f>
        <v>-8.6187845303866695E-3</v>
      </c>
      <c r="E180" s="53"/>
      <c r="F180" s="159">
        <v>45942</v>
      </c>
      <c r="G180" s="160">
        <v>25709.85</v>
      </c>
      <c r="H180" s="87">
        <f t="shared" ref="H180:H229" si="7">G180/G179-1</f>
        <v>1.6788377459675319E-2</v>
      </c>
      <c r="J180" s="144" t="s">
        <v>274</v>
      </c>
      <c r="K180" s="164">
        <f>K210</f>
        <v>1.7370546725674363</v>
      </c>
    </row>
    <row r="181" spans="2:11">
      <c r="B181" s="159">
        <v>45949</v>
      </c>
      <c r="C181" s="65">
        <v>438.45</v>
      </c>
      <c r="D181" s="87">
        <f t="shared" si="6"/>
        <v>-2.2625947391885948E-2</v>
      </c>
      <c r="E181" s="53"/>
      <c r="F181" s="159">
        <v>45949</v>
      </c>
      <c r="G181" s="160">
        <v>25795.15</v>
      </c>
      <c r="H181" s="87">
        <f t="shared" si="7"/>
        <v>3.3177945417808274E-3</v>
      </c>
    </row>
    <row r="182" spans="2:11">
      <c r="B182" s="159">
        <v>45956</v>
      </c>
      <c r="C182" s="65">
        <v>476</v>
      </c>
      <c r="D182" s="87">
        <f t="shared" si="6"/>
        <v>8.5642604629946328E-2</v>
      </c>
      <c r="E182" s="53"/>
      <c r="F182" s="159">
        <v>45956</v>
      </c>
      <c r="G182" s="160">
        <v>25722.1</v>
      </c>
      <c r="H182" s="87">
        <f t="shared" si="7"/>
        <v>-2.8319277073404203E-3</v>
      </c>
      <c r="J182" s="198" t="s">
        <v>279</v>
      </c>
      <c r="K182" s="198"/>
    </row>
    <row r="183" spans="2:11">
      <c r="B183" s="159">
        <v>45963</v>
      </c>
      <c r="C183" s="65">
        <v>479.55</v>
      </c>
      <c r="D183" s="87">
        <f t="shared" si="6"/>
        <v>7.4579831932772844E-3</v>
      </c>
      <c r="E183" s="53"/>
      <c r="F183" s="159">
        <v>45963</v>
      </c>
      <c r="G183" s="160">
        <v>25492.3</v>
      </c>
      <c r="H183" s="87">
        <f t="shared" si="7"/>
        <v>-8.9339517379996014E-3</v>
      </c>
      <c r="J183" s="158"/>
    </row>
    <row r="184" spans="2:11">
      <c r="B184" s="159">
        <v>45970</v>
      </c>
      <c r="C184" s="65">
        <v>481.25</v>
      </c>
      <c r="D184" s="87">
        <f t="shared" si="6"/>
        <v>3.544990094880518E-3</v>
      </c>
      <c r="E184" s="53"/>
      <c r="F184" s="159">
        <v>45970</v>
      </c>
      <c r="G184" s="160">
        <v>25910.05</v>
      </c>
      <c r="H184" s="87">
        <f t="shared" si="7"/>
        <v>1.6387301263518728E-2</v>
      </c>
      <c r="J184" t="s">
        <v>280</v>
      </c>
      <c r="K184" s="158">
        <f>K180</f>
        <v>1.7370546725674363</v>
      </c>
    </row>
    <row r="185" spans="2:11">
      <c r="B185" s="159">
        <v>45977</v>
      </c>
      <c r="C185" s="65">
        <v>471.9</v>
      </c>
      <c r="D185" s="87">
        <f t="shared" si="6"/>
        <v>-1.9428571428571462E-2</v>
      </c>
      <c r="E185" s="53"/>
      <c r="F185" s="159">
        <v>45977</v>
      </c>
      <c r="G185" s="160">
        <v>26068.15</v>
      </c>
      <c r="H185" s="87">
        <f t="shared" si="7"/>
        <v>6.1018793865701415E-3</v>
      </c>
      <c r="J185" t="s">
        <v>281</v>
      </c>
      <c r="K185" s="53">
        <v>0.75</v>
      </c>
    </row>
    <row r="186" spans="2:11">
      <c r="B186" s="159">
        <v>45984</v>
      </c>
      <c r="C186" s="65">
        <v>457.5</v>
      </c>
      <c r="D186" s="87">
        <f t="shared" si="6"/>
        <v>-3.0514939605848612E-2</v>
      </c>
      <c r="E186" s="53"/>
      <c r="F186" s="159">
        <v>45984</v>
      </c>
      <c r="G186" s="160">
        <v>26202.95</v>
      </c>
      <c r="H186" s="87">
        <f t="shared" si="7"/>
        <v>5.1710612375637233E-3</v>
      </c>
    </row>
    <row r="187" spans="2:11">
      <c r="B187" s="159">
        <v>45991</v>
      </c>
      <c r="C187" s="65">
        <v>450.35</v>
      </c>
      <c r="D187" s="87">
        <f t="shared" si="6"/>
        <v>-1.5628415300546372E-2</v>
      </c>
      <c r="E187" s="53"/>
      <c r="F187" s="159">
        <v>45991</v>
      </c>
      <c r="G187" s="160">
        <v>26186.45</v>
      </c>
      <c r="H187" s="87">
        <f t="shared" si="7"/>
        <v>-6.297000910202577E-4</v>
      </c>
      <c r="J187" t="s">
        <v>282</v>
      </c>
      <c r="K187" s="167">
        <v>1</v>
      </c>
    </row>
    <row r="188" spans="2:11">
      <c r="B188" s="159">
        <v>45998</v>
      </c>
      <c r="C188" s="65">
        <v>459.9</v>
      </c>
      <c r="D188" s="87">
        <f t="shared" si="6"/>
        <v>2.1205728877539576E-2</v>
      </c>
      <c r="E188" s="53"/>
      <c r="F188" s="159">
        <v>45998</v>
      </c>
      <c r="G188" s="160">
        <v>26046.95</v>
      </c>
      <c r="H188" s="87">
        <f t="shared" si="7"/>
        <v>-5.3271825696113995E-3</v>
      </c>
      <c r="J188" t="s">
        <v>283</v>
      </c>
      <c r="K188" s="53">
        <v>0.25</v>
      </c>
    </row>
    <row r="189" spans="2:11">
      <c r="B189" s="159">
        <v>46005</v>
      </c>
      <c r="C189" s="65">
        <v>469.75</v>
      </c>
      <c r="D189" s="87">
        <f t="shared" si="6"/>
        <v>2.1417699499891363E-2</v>
      </c>
      <c r="E189" s="53"/>
      <c r="F189" s="159">
        <v>46005</v>
      </c>
      <c r="G189" s="160">
        <v>25966.400000000001</v>
      </c>
      <c r="H189" s="87">
        <f t="shared" si="7"/>
        <v>-3.0924925951022475E-3</v>
      </c>
    </row>
    <row r="190" spans="2:11">
      <c r="B190" s="159">
        <v>46012</v>
      </c>
      <c r="C190" s="65">
        <v>467.7</v>
      </c>
      <c r="D190" s="87">
        <f t="shared" si="6"/>
        <v>-4.3640234167110492E-3</v>
      </c>
      <c r="E190" s="53"/>
      <c r="F190" s="159">
        <v>46012</v>
      </c>
      <c r="G190" s="160">
        <v>26042.3</v>
      </c>
      <c r="H190" s="87">
        <f t="shared" si="7"/>
        <v>2.9230081952060782E-3</v>
      </c>
      <c r="J190" s="144" t="s">
        <v>284</v>
      </c>
      <c r="K190" s="164">
        <f>(K184*K185)+(K187*K188)</f>
        <v>1.5527910044255773</v>
      </c>
    </row>
    <row r="191" spans="2:11">
      <c r="B191" s="159">
        <v>46019</v>
      </c>
      <c r="C191" s="65">
        <v>495.85</v>
      </c>
      <c r="D191" s="87">
        <f t="shared" si="6"/>
        <v>6.0188154800085547E-2</v>
      </c>
      <c r="E191" s="53"/>
      <c r="F191" s="159">
        <v>46019</v>
      </c>
      <c r="G191" s="160">
        <v>26328.55</v>
      </c>
      <c r="H191" s="87">
        <f t="shared" si="7"/>
        <v>1.0991732681061128E-2</v>
      </c>
    </row>
    <row r="192" spans="2:11">
      <c r="B192" s="159">
        <v>46026</v>
      </c>
      <c r="C192" s="65">
        <v>448.75</v>
      </c>
      <c r="D192" s="87">
        <f t="shared" si="6"/>
        <v>-9.4988403751134487E-2</v>
      </c>
      <c r="E192" s="53"/>
      <c r="F192" s="159">
        <v>46026</v>
      </c>
      <c r="G192" s="160">
        <v>25683.3</v>
      </c>
      <c r="H192" s="87">
        <f t="shared" si="7"/>
        <v>-2.4507616256877029E-2</v>
      </c>
    </row>
    <row r="193" spans="2:18">
      <c r="B193" s="159">
        <v>46033</v>
      </c>
      <c r="C193" s="65">
        <v>457.9</v>
      </c>
      <c r="D193" s="87">
        <f t="shared" si="6"/>
        <v>2.0389972144846835E-2</v>
      </c>
      <c r="E193" s="53"/>
      <c r="F193" s="159">
        <v>46033</v>
      </c>
      <c r="G193" s="160">
        <v>25694.35</v>
      </c>
      <c r="H193" s="87">
        <f t="shared" si="7"/>
        <v>4.3024066222008273E-4</v>
      </c>
      <c r="J193" t="s">
        <v>119</v>
      </c>
    </row>
    <row r="194" spans="2:18" ht="15" thickBot="1">
      <c r="B194" s="159">
        <v>46040</v>
      </c>
      <c r="C194" s="65">
        <v>414.85</v>
      </c>
      <c r="D194" s="87">
        <f t="shared" si="6"/>
        <v>-9.4016160733784604E-2</v>
      </c>
      <c r="E194" s="53"/>
      <c r="F194" s="159">
        <v>46040</v>
      </c>
      <c r="G194" s="160">
        <v>25048.65</v>
      </c>
      <c r="H194" s="87">
        <f t="shared" si="7"/>
        <v>-2.5130038315816394E-2</v>
      </c>
    </row>
    <row r="195" spans="2:18">
      <c r="B195" s="159">
        <v>46047</v>
      </c>
      <c r="C195" s="65">
        <v>427</v>
      </c>
      <c r="D195" s="87">
        <f t="shared" si="6"/>
        <v>2.9287694347354343E-2</v>
      </c>
      <c r="E195" s="53"/>
      <c r="F195" s="159">
        <v>46047</v>
      </c>
      <c r="G195" s="160">
        <v>25320.65</v>
      </c>
      <c r="H195" s="87">
        <f t="shared" si="7"/>
        <v>1.0858868641623332E-2</v>
      </c>
      <c r="J195" s="70" t="s">
        <v>120</v>
      </c>
      <c r="K195" s="70"/>
    </row>
    <row r="196" spans="2:18">
      <c r="B196" s="159">
        <v>46054</v>
      </c>
      <c r="C196" s="65">
        <v>463.15</v>
      </c>
      <c r="D196" s="87">
        <f t="shared" si="6"/>
        <v>8.4660421545667441E-2</v>
      </c>
      <c r="E196" s="53"/>
      <c r="F196" s="159">
        <v>46054</v>
      </c>
      <c r="G196" s="160">
        <v>25693.7</v>
      </c>
      <c r="H196" s="87">
        <f t="shared" si="7"/>
        <v>1.4733034104574605E-2</v>
      </c>
      <c r="J196" t="s">
        <v>121</v>
      </c>
      <c r="K196">
        <v>0.65644550260580004</v>
      </c>
    </row>
    <row r="197" spans="2:18">
      <c r="B197" s="159">
        <v>46061</v>
      </c>
      <c r="C197" s="65">
        <v>450.2</v>
      </c>
      <c r="D197" s="87">
        <f t="shared" si="6"/>
        <v>-2.7960703875634207E-2</v>
      </c>
      <c r="E197" s="53"/>
      <c r="F197" s="159">
        <v>46061</v>
      </c>
      <c r="G197" s="160">
        <v>25471.1</v>
      </c>
      <c r="H197" s="87">
        <f t="shared" si="7"/>
        <v>-8.6636023616685209E-3</v>
      </c>
      <c r="J197" t="s">
        <v>122</v>
      </c>
      <c r="K197">
        <v>0.43092069789138143</v>
      </c>
    </row>
    <row r="198" spans="2:18">
      <c r="B198" s="159">
        <v>46068</v>
      </c>
      <c r="C198" s="65">
        <v>430.9</v>
      </c>
      <c r="D198" s="87">
        <f t="shared" si="6"/>
        <v>-4.2869835628609576E-2</v>
      </c>
      <c r="E198" s="53"/>
      <c r="F198" s="159">
        <v>46068</v>
      </c>
      <c r="G198" s="160">
        <v>25571.25</v>
      </c>
      <c r="H198" s="87">
        <f t="shared" si="7"/>
        <v>3.9319071418195684E-3</v>
      </c>
      <c r="J198" t="s">
        <v>123</v>
      </c>
      <c r="K198">
        <v>0.4193068345830423</v>
      </c>
    </row>
    <row r="199" spans="2:18">
      <c r="B199" s="159">
        <v>46075</v>
      </c>
      <c r="C199" s="65">
        <v>438.75</v>
      </c>
      <c r="D199" s="87">
        <f t="shared" si="6"/>
        <v>1.821768391738221E-2</v>
      </c>
      <c r="E199" s="53"/>
      <c r="F199" s="159">
        <v>46075</v>
      </c>
      <c r="G199" s="160">
        <v>25178.65</v>
      </c>
      <c r="H199" s="87">
        <f t="shared" si="7"/>
        <v>-1.5353179840641329E-2</v>
      </c>
      <c r="J199" t="s">
        <v>124</v>
      </c>
      <c r="K199">
        <v>3.371378930436824E-2</v>
      </c>
    </row>
    <row r="200" spans="2:18" ht="15" thickBot="1">
      <c r="B200" s="159">
        <v>46082</v>
      </c>
      <c r="C200" s="65">
        <v>404.95</v>
      </c>
      <c r="D200" s="87">
        <f t="shared" si="6"/>
        <v>-7.7037037037037015E-2</v>
      </c>
      <c r="E200" s="53"/>
      <c r="F200" s="159">
        <v>46082</v>
      </c>
      <c r="G200" s="160">
        <v>24450.45</v>
      </c>
      <c r="H200" s="87">
        <f t="shared" si="7"/>
        <v>-2.892132818876314E-2</v>
      </c>
      <c r="J200" s="68" t="s">
        <v>125</v>
      </c>
      <c r="K200" s="68">
        <v>51</v>
      </c>
    </row>
    <row r="201" spans="2:18">
      <c r="B201" s="159">
        <v>46089</v>
      </c>
      <c r="C201" s="65">
        <v>368.75</v>
      </c>
      <c r="D201" s="87">
        <f t="shared" si="6"/>
        <v>-8.9393752315100605E-2</v>
      </c>
      <c r="E201" s="53"/>
      <c r="F201" s="159">
        <v>46089</v>
      </c>
      <c r="G201" s="160">
        <v>23151.1</v>
      </c>
      <c r="H201" s="87">
        <f t="shared" si="7"/>
        <v>-5.3142171207482991E-2</v>
      </c>
    </row>
    <row r="202" spans="2:18" ht="15" thickBot="1">
      <c r="B202" s="159">
        <v>46096</v>
      </c>
      <c r="C202" s="65">
        <v>336.3</v>
      </c>
      <c r="D202" s="87">
        <f t="shared" si="6"/>
        <v>-8.7999999999999967E-2</v>
      </c>
      <c r="E202" s="53"/>
      <c r="F202" s="159">
        <v>46096</v>
      </c>
      <c r="G202" s="160">
        <v>23114.5</v>
      </c>
      <c r="H202" s="87">
        <f t="shared" si="7"/>
        <v>-1.5809184012853805E-3</v>
      </c>
      <c r="J202" t="s">
        <v>126</v>
      </c>
    </row>
    <row r="203" spans="2:18">
      <c r="B203" s="159">
        <v>46103</v>
      </c>
      <c r="C203" s="65">
        <v>340.9</v>
      </c>
      <c r="D203" s="87">
        <f t="shared" si="6"/>
        <v>1.3678263455248141E-2</v>
      </c>
      <c r="E203" s="53"/>
      <c r="F203" s="159">
        <v>46103</v>
      </c>
      <c r="G203" s="160">
        <v>22819.599999999999</v>
      </c>
      <c r="H203" s="87">
        <f t="shared" si="7"/>
        <v>-1.275822535637805E-2</v>
      </c>
      <c r="J203" s="69"/>
      <c r="K203" s="69" t="s">
        <v>130</v>
      </c>
      <c r="L203" s="69" t="s">
        <v>131</v>
      </c>
      <c r="M203" s="69" t="s">
        <v>132</v>
      </c>
      <c r="N203" s="69" t="s">
        <v>133</v>
      </c>
      <c r="O203" s="69" t="s">
        <v>134</v>
      </c>
    </row>
    <row r="204" spans="2:18">
      <c r="B204" s="159">
        <v>46110</v>
      </c>
      <c r="C204" s="65">
        <v>326</v>
      </c>
      <c r="D204" s="87">
        <f t="shared" si="6"/>
        <v>-4.3707832208858877E-2</v>
      </c>
      <c r="E204" s="53"/>
      <c r="F204" s="159">
        <v>46110</v>
      </c>
      <c r="G204" s="160">
        <v>22713.1</v>
      </c>
      <c r="H204" s="87">
        <f t="shared" si="7"/>
        <v>-4.6670406142088616E-3</v>
      </c>
      <c r="J204" t="s">
        <v>127</v>
      </c>
      <c r="K204">
        <v>1</v>
      </c>
      <c r="L204">
        <v>4.2173124793793593E-2</v>
      </c>
      <c r="M204">
        <v>4.2173124793793593E-2</v>
      </c>
      <c r="N204">
        <v>37.103992569119143</v>
      </c>
      <c r="O204">
        <v>1.6925436356431075E-7</v>
      </c>
    </row>
    <row r="205" spans="2:18">
      <c r="B205" s="159">
        <v>46117</v>
      </c>
      <c r="C205" s="65">
        <v>360.6</v>
      </c>
      <c r="D205" s="87">
        <f t="shared" si="6"/>
        <v>0.10613496932515343</v>
      </c>
      <c r="E205" s="53"/>
      <c r="F205" s="159">
        <v>46117</v>
      </c>
      <c r="G205" s="160">
        <v>24050.6</v>
      </c>
      <c r="H205" s="87">
        <f t="shared" si="7"/>
        <v>5.8886721759689342E-2</v>
      </c>
      <c r="J205" t="s">
        <v>128</v>
      </c>
      <c r="K205">
        <v>49</v>
      </c>
      <c r="L205">
        <v>5.5694359873707383E-2</v>
      </c>
      <c r="M205">
        <v>1.1366195892593344E-3</v>
      </c>
    </row>
    <row r="206" spans="2:18" ht="15" thickBot="1">
      <c r="B206" s="159">
        <v>46124</v>
      </c>
      <c r="C206" s="65">
        <v>370.85</v>
      </c>
      <c r="D206" s="87">
        <f t="shared" si="6"/>
        <v>2.842484747642815E-2</v>
      </c>
      <c r="E206" s="53"/>
      <c r="F206" s="159">
        <v>46124</v>
      </c>
      <c r="G206" s="160">
        <v>24353.55</v>
      </c>
      <c r="H206" s="87">
        <f t="shared" si="7"/>
        <v>1.2596359342386565E-2</v>
      </c>
      <c r="J206" s="68" t="s">
        <v>35</v>
      </c>
      <c r="K206" s="68">
        <v>50</v>
      </c>
      <c r="L206" s="68">
        <v>9.7867484667500976E-2</v>
      </c>
      <c r="M206" s="68"/>
      <c r="N206" s="68"/>
      <c r="O206" s="68"/>
    </row>
    <row r="207" spans="2:18" ht="15" thickBot="1">
      <c r="B207" s="159">
        <v>46131</v>
      </c>
      <c r="C207" s="65">
        <v>373.5</v>
      </c>
      <c r="D207" s="87">
        <f t="shared" si="6"/>
        <v>7.1457462585950982E-3</v>
      </c>
      <c r="E207" s="53"/>
      <c r="F207" s="159">
        <v>46131</v>
      </c>
      <c r="G207" s="160">
        <v>23897.95</v>
      </c>
      <c r="H207" s="87">
        <f t="shared" si="7"/>
        <v>-1.8707744866764742E-2</v>
      </c>
    </row>
    <row r="208" spans="2:18">
      <c r="B208" s="159">
        <v>46138</v>
      </c>
      <c r="C208" s="65">
        <v>374.55</v>
      </c>
      <c r="D208" s="87">
        <f t="shared" si="6"/>
        <v>2.8112449799198025E-3</v>
      </c>
      <c r="E208" s="53"/>
      <c r="F208" s="159">
        <v>46138</v>
      </c>
      <c r="G208" s="160">
        <v>23997.55</v>
      </c>
      <c r="H208" s="87">
        <f t="shared" si="7"/>
        <v>4.167721499124255E-3</v>
      </c>
      <c r="J208" s="69"/>
      <c r="K208" s="69" t="s">
        <v>135</v>
      </c>
      <c r="L208" s="69" t="s">
        <v>124</v>
      </c>
      <c r="M208" s="69" t="s">
        <v>136</v>
      </c>
      <c r="N208" s="69" t="s">
        <v>137</v>
      </c>
      <c r="O208" s="69" t="s">
        <v>138</v>
      </c>
      <c r="P208" s="69" t="s">
        <v>139</v>
      </c>
      <c r="Q208" s="69" t="s">
        <v>140</v>
      </c>
      <c r="R208" s="69" t="s">
        <v>141</v>
      </c>
    </row>
    <row r="209" spans="2:18">
      <c r="B209" s="159">
        <v>46145</v>
      </c>
      <c r="C209" s="65">
        <v>387</v>
      </c>
      <c r="D209" s="87">
        <f t="shared" si="6"/>
        <v>3.3239887865438522E-2</v>
      </c>
      <c r="E209" s="53"/>
      <c r="F209" s="159">
        <v>46145</v>
      </c>
      <c r="G209" s="160">
        <v>24176.15</v>
      </c>
      <c r="H209" s="87">
        <f t="shared" si="7"/>
        <v>7.4424264143633234E-3</v>
      </c>
      <c r="J209" t="s">
        <v>129</v>
      </c>
      <c r="K209">
        <v>-1.4847971403442297E-3</v>
      </c>
      <c r="L209">
        <v>4.7352834732282143E-3</v>
      </c>
      <c r="M209">
        <v>-0.31356034939382199</v>
      </c>
      <c r="N209">
        <v>0.7551859249382592</v>
      </c>
      <c r="O209">
        <v>-1.1000705548930984E-2</v>
      </c>
      <c r="P209">
        <v>8.0311112682425259E-3</v>
      </c>
      <c r="Q209">
        <v>-1.1000705548930984E-2</v>
      </c>
      <c r="R209">
        <v>8.0311112682425259E-3</v>
      </c>
    </row>
    <row r="210" spans="2:18" ht="15" thickBot="1">
      <c r="B210" s="159">
        <v>46152</v>
      </c>
      <c r="C210" s="65">
        <v>366.4</v>
      </c>
      <c r="D210" s="87">
        <f t="shared" si="6"/>
        <v>-5.3229974160206806E-2</v>
      </c>
      <c r="E210" s="53"/>
      <c r="F210" s="159">
        <v>46152</v>
      </c>
      <c r="G210" s="160">
        <v>23643.5</v>
      </c>
      <c r="H210" s="87">
        <f t="shared" si="7"/>
        <v>-2.2032043977225579E-2</v>
      </c>
      <c r="J210" s="68" t="s">
        <v>272</v>
      </c>
      <c r="K210" s="68">
        <v>1.7370546725674363</v>
      </c>
      <c r="L210" s="68">
        <v>0.28516956005203881</v>
      </c>
      <c r="M210" s="68">
        <v>6.0913046688799888</v>
      </c>
      <c r="N210" s="68">
        <v>1.692543635643095E-7</v>
      </c>
      <c r="O210" s="68">
        <v>1.1639849863038196</v>
      </c>
      <c r="P210" s="68">
        <v>2.3101243588310529</v>
      </c>
      <c r="Q210" s="68">
        <v>1.1639849863038196</v>
      </c>
      <c r="R210" s="68">
        <v>2.3101243588310529</v>
      </c>
    </row>
    <row r="211" spans="2:18">
      <c r="B211" s="159">
        <v>46159</v>
      </c>
      <c r="C211" s="65">
        <v>389.65</v>
      </c>
      <c r="D211" s="87">
        <f t="shared" si="6"/>
        <v>6.3455240174672412E-2</v>
      </c>
      <c r="E211" s="53"/>
      <c r="F211" s="159">
        <v>46159</v>
      </c>
      <c r="G211" s="160">
        <v>23719.3</v>
      </c>
      <c r="H211" s="87">
        <f t="shared" si="7"/>
        <v>3.2059551250871454E-3</v>
      </c>
    </row>
    <row r="212" spans="2:18">
      <c r="B212" s="159">
        <v>46166</v>
      </c>
      <c r="C212" s="65">
        <v>393.85</v>
      </c>
      <c r="D212" s="87">
        <f t="shared" si="6"/>
        <v>1.0778904144745471E-2</v>
      </c>
      <c r="E212" s="53"/>
      <c r="F212" s="159">
        <v>46166</v>
      </c>
      <c r="G212" s="160">
        <v>23547.75</v>
      </c>
      <c r="H212" s="87">
        <f t="shared" si="7"/>
        <v>-7.2325068615008981E-3</v>
      </c>
    </row>
    <row r="213" spans="2:18">
      <c r="B213" s="159">
        <v>46173</v>
      </c>
      <c r="C213" s="65">
        <v>385.05</v>
      </c>
      <c r="D213" s="87">
        <f t="shared" si="6"/>
        <v>-2.2343531801447325E-2</v>
      </c>
      <c r="E213" s="53"/>
      <c r="F213" s="159">
        <v>46173</v>
      </c>
      <c r="G213" s="160">
        <v>23366.7</v>
      </c>
      <c r="H213" s="87">
        <f t="shared" si="7"/>
        <v>-7.6886326719113329E-3</v>
      </c>
    </row>
    <row r="214" spans="2:18">
      <c r="B214" s="159">
        <v>46180</v>
      </c>
      <c r="C214" s="65">
        <v>388.9</v>
      </c>
      <c r="D214" s="87">
        <f t="shared" si="6"/>
        <v>9.9987014673417196E-3</v>
      </c>
      <c r="E214" s="53"/>
      <c r="F214" s="159">
        <v>46180</v>
      </c>
      <c r="G214" s="160">
        <v>23622.9</v>
      </c>
      <c r="H214" s="87">
        <f t="shared" si="7"/>
        <v>1.0964321020940027E-2</v>
      </c>
    </row>
    <row r="215" spans="2:18">
      <c r="B215" s="159">
        <v>46187</v>
      </c>
      <c r="C215" s="65">
        <v>392.1</v>
      </c>
      <c r="D215" s="87">
        <f t="shared" si="6"/>
        <v>8.228336333247821E-3</v>
      </c>
      <c r="E215" s="53"/>
      <c r="F215" s="159">
        <v>46187</v>
      </c>
      <c r="G215" s="160">
        <v>24013.1</v>
      </c>
      <c r="H215" s="87">
        <f t="shared" si="7"/>
        <v>1.6517870371546062E-2</v>
      </c>
    </row>
    <row r="216" spans="2:18">
      <c r="B216" s="159">
        <v>46194</v>
      </c>
      <c r="C216" s="65">
        <v>409.25</v>
      </c>
      <c r="D216" s="87">
        <f t="shared" si="6"/>
        <v>4.373884213210899E-2</v>
      </c>
      <c r="E216" s="53"/>
      <c r="F216" s="159">
        <v>46194</v>
      </c>
      <c r="G216" s="160">
        <v>24056</v>
      </c>
      <c r="H216" s="87">
        <f t="shared" si="7"/>
        <v>1.7865248551833801E-3</v>
      </c>
    </row>
    <row r="217" spans="2:18">
      <c r="B217" s="159">
        <v>46201</v>
      </c>
      <c r="C217" s="65">
        <v>399.25</v>
      </c>
      <c r="D217" s="87">
        <f t="shared" si="6"/>
        <v>-2.4434941967012791E-2</v>
      </c>
      <c r="E217" s="53"/>
      <c r="F217" s="159">
        <v>46201</v>
      </c>
      <c r="G217" s="160">
        <v>24270.85</v>
      </c>
      <c r="H217" s="87">
        <f t="shared" si="7"/>
        <v>8.9312437645492349E-3</v>
      </c>
    </row>
    <row r="218" spans="2:18">
      <c r="B218" s="159">
        <v>46208</v>
      </c>
      <c r="C218" s="65">
        <v>395.3</v>
      </c>
      <c r="D218" s="87">
        <f t="shared" si="6"/>
        <v>-9.8935504070131186E-3</v>
      </c>
      <c r="E218" s="53"/>
      <c r="F218" s="159">
        <v>46208</v>
      </c>
      <c r="G218" s="160">
        <v>24206.9</v>
      </c>
      <c r="H218" s="87">
        <f t="shared" si="7"/>
        <v>-2.6348479760699428E-3</v>
      </c>
    </row>
    <row r="219" spans="2:18">
      <c r="B219" s="159">
        <v>46215</v>
      </c>
      <c r="C219" s="65">
        <v>400.4</v>
      </c>
      <c r="D219" s="87">
        <f t="shared" si="6"/>
        <v>1.2901593726283744E-2</v>
      </c>
      <c r="E219" s="53"/>
      <c r="F219" s="159">
        <v>46215</v>
      </c>
      <c r="G219" s="160">
        <v>24334.3</v>
      </c>
      <c r="H219" s="87">
        <f t="shared" si="7"/>
        <v>5.262962213253175E-3</v>
      </c>
    </row>
    <row r="220" spans="2:18">
      <c r="B220" s="159">
        <v>46222</v>
      </c>
      <c r="C220" s="65">
        <v>381.1</v>
      </c>
      <c r="D220" s="87">
        <f t="shared" si="6"/>
        <v>-4.8201798201798041E-2</v>
      </c>
      <c r="E220" s="53"/>
      <c r="F220" s="159">
        <v>46222</v>
      </c>
      <c r="G220" s="160">
        <v>23767.45</v>
      </c>
      <c r="H220" s="87">
        <f t="shared" si="7"/>
        <v>-2.3294280090242925E-2</v>
      </c>
    </row>
    <row r="221" spans="2:18">
      <c r="B221" s="159">
        <v>46229</v>
      </c>
      <c r="C221" s="65">
        <v>389.75</v>
      </c>
      <c r="D221" s="87">
        <f t="shared" si="6"/>
        <v>2.2697454736289702E-2</v>
      </c>
      <c r="E221" s="53"/>
      <c r="F221" s="159">
        <v>46229</v>
      </c>
      <c r="G221" s="160">
        <v>24383.599999999999</v>
      </c>
      <c r="H221" s="87">
        <f t="shared" si="7"/>
        <v>2.5924110495656683E-2</v>
      </c>
    </row>
    <row r="222" spans="2:18">
      <c r="B222" s="159">
        <v>46236</v>
      </c>
      <c r="C222" s="65">
        <v>393.05</v>
      </c>
      <c r="D222" s="87">
        <f t="shared" si="6"/>
        <v>8.4669660038485528E-3</v>
      </c>
      <c r="E222" s="53"/>
      <c r="F222" s="159">
        <v>46236</v>
      </c>
      <c r="G222" s="160">
        <v>24570.65</v>
      </c>
      <c r="H222" s="87">
        <f t="shared" si="7"/>
        <v>7.6711396184321323E-3</v>
      </c>
    </row>
    <row r="223" spans="2:18">
      <c r="B223" s="159">
        <v>46243</v>
      </c>
      <c r="C223" s="65">
        <v>373.5</v>
      </c>
      <c r="D223" s="87">
        <f t="shared" si="6"/>
        <v>-4.9739218928889439E-2</v>
      </c>
      <c r="E223" s="53"/>
      <c r="F223" s="159">
        <v>46243</v>
      </c>
      <c r="G223" s="160">
        <v>24366</v>
      </c>
      <c r="H223" s="87">
        <f t="shared" si="7"/>
        <v>-8.3290429842108882E-3</v>
      </c>
    </row>
    <row r="224" spans="2:18">
      <c r="B224" s="159">
        <v>46250</v>
      </c>
      <c r="C224" s="65">
        <v>363.25</v>
      </c>
      <c r="D224" s="87">
        <f t="shared" si="6"/>
        <v>-2.7443105756358777E-2</v>
      </c>
      <c r="E224" s="53"/>
      <c r="F224" s="159">
        <v>46250</v>
      </c>
      <c r="G224" s="160">
        <v>24252</v>
      </c>
      <c r="H224" s="87">
        <f t="shared" si="7"/>
        <v>-4.6786505786752253E-3</v>
      </c>
    </row>
    <row r="225" spans="2:11">
      <c r="B225" s="159">
        <v>46257</v>
      </c>
      <c r="C225" s="65">
        <v>364</v>
      </c>
      <c r="D225" s="87">
        <f t="shared" si="6"/>
        <v>2.0646937370956131E-3</v>
      </c>
      <c r="E225" s="53"/>
      <c r="F225" s="159">
        <v>46257</v>
      </c>
      <c r="G225" s="160">
        <v>24175.65</v>
      </c>
      <c r="H225" s="87">
        <f t="shared" si="7"/>
        <v>-3.1481939633843936E-3</v>
      </c>
    </row>
    <row r="226" spans="2:11">
      <c r="B226" s="159">
        <v>46264</v>
      </c>
      <c r="C226" s="65">
        <v>356.5</v>
      </c>
      <c r="D226" s="87">
        <f t="shared" si="6"/>
        <v>-2.0604395604395642E-2</v>
      </c>
      <c r="E226" s="53"/>
      <c r="F226" s="159">
        <v>46264</v>
      </c>
      <c r="G226" s="160">
        <v>23897.7</v>
      </c>
      <c r="H226" s="87">
        <f t="shared" si="7"/>
        <v>-1.1497105558692322E-2</v>
      </c>
    </row>
    <row r="227" spans="2:11">
      <c r="B227" s="159">
        <v>46271</v>
      </c>
      <c r="C227" s="65">
        <v>352</v>
      </c>
      <c r="D227" s="87">
        <f t="shared" si="6"/>
        <v>-1.2622720897615736E-2</v>
      </c>
      <c r="E227" s="53"/>
      <c r="F227" s="159">
        <v>46271</v>
      </c>
      <c r="G227" s="160">
        <v>23398.1</v>
      </c>
      <c r="H227" s="87">
        <f t="shared" si="7"/>
        <v>-2.0905777543445692E-2</v>
      </c>
    </row>
    <row r="228" spans="2:11">
      <c r="B228" s="159">
        <v>46278</v>
      </c>
      <c r="C228" s="65">
        <v>359</v>
      </c>
      <c r="D228" s="87">
        <f t="shared" si="6"/>
        <v>1.9886363636363535E-2</v>
      </c>
      <c r="E228" s="53"/>
      <c r="F228" s="159">
        <v>46278</v>
      </c>
      <c r="G228" s="160">
        <v>23346.400000000001</v>
      </c>
      <c r="H228" s="87">
        <f t="shared" si="7"/>
        <v>-2.2095811198343807E-3</v>
      </c>
    </row>
    <row r="229" spans="2:11">
      <c r="B229" s="159">
        <v>46285</v>
      </c>
      <c r="C229" s="65">
        <v>351</v>
      </c>
      <c r="D229" s="87">
        <f t="shared" si="6"/>
        <v>-2.2284122562674091E-2</v>
      </c>
      <c r="E229" s="53"/>
      <c r="F229" s="159">
        <v>46285</v>
      </c>
      <c r="G229" s="160">
        <v>23140.5</v>
      </c>
      <c r="H229" s="87">
        <f t="shared" si="7"/>
        <v>-8.8193468800329411E-3</v>
      </c>
    </row>
    <row r="232" spans="2:11">
      <c r="B232" s="199" t="s">
        <v>285</v>
      </c>
      <c r="C232" s="199"/>
      <c r="D232" s="199"/>
      <c r="F232" s="198" t="s">
        <v>267</v>
      </c>
      <c r="G232" s="198"/>
      <c r="H232" s="198"/>
      <c r="J232" s="198" t="s">
        <v>268</v>
      </c>
      <c r="K232" s="198"/>
    </row>
    <row r="234" spans="2:11">
      <c r="B234" s="101" t="s">
        <v>263</v>
      </c>
      <c r="C234" s="166" t="s">
        <v>264</v>
      </c>
      <c r="D234" s="166" t="s">
        <v>265</v>
      </c>
      <c r="F234" s="161" t="s">
        <v>263</v>
      </c>
      <c r="G234" s="162" t="s">
        <v>264</v>
      </c>
      <c r="H234" s="162" t="s">
        <v>265</v>
      </c>
    </row>
    <row r="235" spans="2:11">
      <c r="B235" s="165">
        <v>45928</v>
      </c>
      <c r="C235" s="65">
        <v>143.4</v>
      </c>
      <c r="E235" s="53"/>
      <c r="F235" s="159">
        <v>45928</v>
      </c>
      <c r="G235" s="160">
        <v>24894.25</v>
      </c>
      <c r="H235" s="160"/>
      <c r="J235" s="144" t="s">
        <v>269</v>
      </c>
      <c r="K235" s="164">
        <f>SLOPE(D236:D286,H236:H286)</f>
        <v>0.58931119549100319</v>
      </c>
    </row>
    <row r="236" spans="2:11">
      <c r="B236" s="165">
        <v>45935</v>
      </c>
      <c r="C236" s="65">
        <v>143.85</v>
      </c>
      <c r="D236" s="87">
        <f>C236/C235-1</f>
        <v>3.1380753138074979E-3</v>
      </c>
      <c r="E236" s="53"/>
      <c r="F236" s="159">
        <v>45935</v>
      </c>
      <c r="G236" s="160">
        <v>25285.35</v>
      </c>
      <c r="H236" s="87">
        <f>G236/G235-1</f>
        <v>1.5710455225604214E-2</v>
      </c>
      <c r="J236" s="144" t="s">
        <v>270</v>
      </c>
      <c r="K236" s="164" cm="1">
        <f t="array" ref="K236">_xlfn.COVARIANCE.S(D236:D286,H236:H286/_xlfn.VAR.S(H236:H286))</f>
        <v>0.58931119549100319</v>
      </c>
    </row>
    <row r="237" spans="2:11">
      <c r="B237" s="165">
        <v>45942</v>
      </c>
      <c r="C237" s="65">
        <v>140.87</v>
      </c>
      <c r="D237" s="87">
        <f t="shared" ref="D237:D286" si="8">C237/C236-1</f>
        <v>-2.0716023635731551E-2</v>
      </c>
      <c r="E237" s="53"/>
      <c r="F237" s="159">
        <v>45942</v>
      </c>
      <c r="G237" s="160">
        <v>25709.85</v>
      </c>
      <c r="H237" s="87">
        <f t="shared" ref="H237:H286" si="9">G237/G236-1</f>
        <v>1.6788377459675319E-2</v>
      </c>
      <c r="J237" s="144" t="s">
        <v>274</v>
      </c>
      <c r="K237" s="164">
        <f>K268</f>
        <v>0.58931119549100319</v>
      </c>
    </row>
    <row r="238" spans="2:11">
      <c r="B238" s="165">
        <v>45949</v>
      </c>
      <c r="C238" s="65">
        <v>145.31</v>
      </c>
      <c r="D238" s="87">
        <f t="shared" si="8"/>
        <v>3.1518421239440597E-2</v>
      </c>
      <c r="E238" s="53"/>
      <c r="F238" s="159">
        <v>45949</v>
      </c>
      <c r="G238" s="160">
        <v>25795.15</v>
      </c>
      <c r="H238" s="87">
        <f t="shared" si="9"/>
        <v>3.3177945417808274E-3</v>
      </c>
    </row>
    <row r="239" spans="2:11">
      <c r="B239" s="165">
        <v>45956</v>
      </c>
      <c r="C239" s="65">
        <v>166.4</v>
      </c>
      <c r="D239" s="87">
        <f t="shared" si="8"/>
        <v>0.14513798086848806</v>
      </c>
      <c r="E239" s="53"/>
      <c r="F239" s="159">
        <v>45956</v>
      </c>
      <c r="G239" s="160">
        <v>25722.1</v>
      </c>
      <c r="H239" s="87">
        <f t="shared" si="9"/>
        <v>-2.8319277073404203E-3</v>
      </c>
      <c r="J239" s="198" t="s">
        <v>279</v>
      </c>
      <c r="K239" s="198"/>
    </row>
    <row r="240" spans="2:11">
      <c r="B240" s="165">
        <v>45963</v>
      </c>
      <c r="C240" s="65">
        <v>172.49</v>
      </c>
      <c r="D240" s="87">
        <f t="shared" si="8"/>
        <v>3.6598557692307798E-2</v>
      </c>
      <c r="E240" s="53"/>
      <c r="F240" s="159">
        <v>45963</v>
      </c>
      <c r="G240" s="160">
        <v>25492.3</v>
      </c>
      <c r="H240" s="87">
        <f t="shared" si="9"/>
        <v>-8.9339517379996014E-3</v>
      </c>
      <c r="J240" s="158"/>
    </row>
    <row r="241" spans="2:11">
      <c r="B241" s="165">
        <v>45970</v>
      </c>
      <c r="C241" s="65">
        <v>171.83</v>
      </c>
      <c r="D241" s="87">
        <f t="shared" si="8"/>
        <v>-3.8263087715230126E-3</v>
      </c>
      <c r="E241" s="53"/>
      <c r="F241" s="159">
        <v>45970</v>
      </c>
      <c r="G241" s="160">
        <v>25910.05</v>
      </c>
      <c r="H241" s="87">
        <f t="shared" si="9"/>
        <v>1.6387301263518728E-2</v>
      </c>
      <c r="J241" t="s">
        <v>280</v>
      </c>
      <c r="K241" s="158">
        <f>K237</f>
        <v>0.58931119549100319</v>
      </c>
    </row>
    <row r="242" spans="2:11">
      <c r="B242" s="165">
        <v>45977</v>
      </c>
      <c r="C242" s="65">
        <v>170.28</v>
      </c>
      <c r="D242" s="87">
        <f t="shared" si="8"/>
        <v>-9.0205435604958639E-3</v>
      </c>
      <c r="E242" s="53"/>
      <c r="F242" s="159">
        <v>45977</v>
      </c>
      <c r="G242" s="160">
        <v>26068.15</v>
      </c>
      <c r="H242" s="87">
        <f t="shared" si="9"/>
        <v>6.1018793865701415E-3</v>
      </c>
      <c r="J242" t="s">
        <v>281</v>
      </c>
      <c r="K242" s="53">
        <v>0.75</v>
      </c>
    </row>
    <row r="243" spans="2:11">
      <c r="B243" s="165">
        <v>45984</v>
      </c>
      <c r="C243" s="65">
        <v>158.06</v>
      </c>
      <c r="D243" s="87">
        <f t="shared" si="8"/>
        <v>-7.176415315950202E-2</v>
      </c>
      <c r="E243" s="53"/>
      <c r="F243" s="159">
        <v>45984</v>
      </c>
      <c r="G243" s="160">
        <v>26202.95</v>
      </c>
      <c r="H243" s="87">
        <f t="shared" si="9"/>
        <v>5.1710612375637233E-3</v>
      </c>
    </row>
    <row r="244" spans="2:11">
      <c r="B244" s="165">
        <v>45991</v>
      </c>
      <c r="C244" s="65">
        <v>153.74</v>
      </c>
      <c r="D244" s="87">
        <f t="shared" si="8"/>
        <v>-2.7331393141844851E-2</v>
      </c>
      <c r="E244" s="53"/>
      <c r="F244" s="159">
        <v>45991</v>
      </c>
      <c r="G244" s="160">
        <v>26186.45</v>
      </c>
      <c r="H244" s="87">
        <f t="shared" si="9"/>
        <v>-6.297000910202577E-4</v>
      </c>
      <c r="J244" t="s">
        <v>282</v>
      </c>
      <c r="K244" s="167">
        <v>1</v>
      </c>
    </row>
    <row r="245" spans="2:11">
      <c r="B245" s="165">
        <v>45998</v>
      </c>
      <c r="C245" s="65">
        <v>148.94999999999999</v>
      </c>
      <c r="D245" s="87">
        <f t="shared" si="8"/>
        <v>-3.1156497983608866E-2</v>
      </c>
      <c r="E245" s="53"/>
      <c r="F245" s="159">
        <v>45998</v>
      </c>
      <c r="G245" s="160">
        <v>26046.95</v>
      </c>
      <c r="H245" s="87">
        <f t="shared" si="9"/>
        <v>-5.3271825696113995E-3</v>
      </c>
      <c r="J245" t="s">
        <v>283</v>
      </c>
      <c r="K245" s="53">
        <v>0.25</v>
      </c>
    </row>
    <row r="246" spans="2:11">
      <c r="B246" s="165">
        <v>46005</v>
      </c>
      <c r="C246" s="65">
        <v>148.22</v>
      </c>
      <c r="D246" s="87">
        <f t="shared" si="8"/>
        <v>-4.900973481033799E-3</v>
      </c>
      <c r="E246" s="53"/>
      <c r="F246" s="159">
        <v>46005</v>
      </c>
      <c r="G246" s="160">
        <v>25966.400000000001</v>
      </c>
      <c r="H246" s="87">
        <f t="shared" si="9"/>
        <v>-3.0924925951022475E-3</v>
      </c>
    </row>
    <row r="247" spans="2:11">
      <c r="B247" s="165">
        <v>46012</v>
      </c>
      <c r="C247" s="65">
        <v>145.01</v>
      </c>
      <c r="D247" s="87">
        <f t="shared" si="8"/>
        <v>-2.1656996356766989E-2</v>
      </c>
      <c r="E247" s="53"/>
      <c r="F247" s="159">
        <v>46012</v>
      </c>
      <c r="G247" s="160">
        <v>26042.3</v>
      </c>
      <c r="H247" s="87">
        <f t="shared" si="9"/>
        <v>2.9230081952060782E-3</v>
      </c>
      <c r="J247" s="144" t="s">
        <v>284</v>
      </c>
      <c r="K247" s="164">
        <f>(K241*K242)+(K244*K245)</f>
        <v>0.69198339661825237</v>
      </c>
    </row>
    <row r="248" spans="2:11">
      <c r="B248" s="165">
        <v>46019</v>
      </c>
      <c r="C248" s="65">
        <v>151.31</v>
      </c>
      <c r="D248" s="87">
        <f t="shared" si="8"/>
        <v>4.3445279635887291E-2</v>
      </c>
      <c r="E248" s="53"/>
      <c r="F248" s="159">
        <v>46019</v>
      </c>
      <c r="G248" s="160">
        <v>26328.55</v>
      </c>
      <c r="H248" s="87">
        <f t="shared" si="9"/>
        <v>1.0991732681061128E-2</v>
      </c>
    </row>
    <row r="249" spans="2:11">
      <c r="B249" s="165">
        <v>46026</v>
      </c>
      <c r="C249" s="65">
        <v>139.19999999999999</v>
      </c>
      <c r="D249" s="87">
        <f t="shared" si="8"/>
        <v>-8.0034366532284795E-2</v>
      </c>
      <c r="E249" s="53"/>
      <c r="F249" s="159">
        <v>46026</v>
      </c>
      <c r="G249" s="160">
        <v>25683.3</v>
      </c>
      <c r="H249" s="87">
        <f t="shared" si="9"/>
        <v>-2.4507616256877029E-2</v>
      </c>
    </row>
    <row r="250" spans="2:11">
      <c r="B250" s="165">
        <v>46033</v>
      </c>
      <c r="C250" s="65">
        <v>151.26</v>
      </c>
      <c r="D250" s="87">
        <f t="shared" si="8"/>
        <v>8.6637931034482696E-2</v>
      </c>
      <c r="E250" s="53"/>
      <c r="F250" s="159">
        <v>46033</v>
      </c>
      <c r="G250" s="160">
        <v>25694.35</v>
      </c>
      <c r="H250" s="87">
        <f t="shared" si="9"/>
        <v>4.3024066222008273E-4</v>
      </c>
    </row>
    <row r="251" spans="2:11">
      <c r="B251" s="165">
        <v>46040</v>
      </c>
      <c r="C251" s="65">
        <v>155.4</v>
      </c>
      <c r="D251" s="87">
        <f t="shared" si="8"/>
        <v>2.737009123363765E-2</v>
      </c>
      <c r="E251" s="53"/>
      <c r="F251" s="159">
        <v>46040</v>
      </c>
      <c r="G251" s="160">
        <v>25048.65</v>
      </c>
      <c r="H251" s="87">
        <f t="shared" si="9"/>
        <v>-2.5130038315816394E-2</v>
      </c>
      <c r="J251" t="s">
        <v>119</v>
      </c>
    </row>
    <row r="252" spans="2:11" ht="15" thickBot="1">
      <c r="B252" s="165">
        <v>46047</v>
      </c>
      <c r="C252" s="65">
        <v>176.54</v>
      </c>
      <c r="D252" s="87">
        <f t="shared" si="8"/>
        <v>0.13603603603603598</v>
      </c>
      <c r="E252" s="53"/>
      <c r="F252" s="159">
        <v>46047</v>
      </c>
      <c r="G252" s="160">
        <v>25320.65</v>
      </c>
      <c r="H252" s="87">
        <f t="shared" si="9"/>
        <v>1.0858868641623332E-2</v>
      </c>
    </row>
    <row r="253" spans="2:11">
      <c r="B253" s="165">
        <v>46054</v>
      </c>
      <c r="C253" s="65">
        <v>185.25</v>
      </c>
      <c r="D253" s="87">
        <f t="shared" si="8"/>
        <v>4.933726067746691E-2</v>
      </c>
      <c r="E253" s="53"/>
      <c r="F253" s="159">
        <v>46054</v>
      </c>
      <c r="G253" s="160">
        <v>25693.7</v>
      </c>
      <c r="H253" s="87">
        <f t="shared" si="9"/>
        <v>1.4733034104574605E-2</v>
      </c>
      <c r="J253" s="70" t="s">
        <v>120</v>
      </c>
      <c r="K253" s="70"/>
    </row>
    <row r="254" spans="2:11">
      <c r="B254" s="165">
        <v>46061</v>
      </c>
      <c r="C254" s="65">
        <v>185.6</v>
      </c>
      <c r="D254" s="87">
        <f t="shared" si="8"/>
        <v>1.8893387314440346E-3</v>
      </c>
      <c r="E254" s="53"/>
      <c r="F254" s="159">
        <v>46061</v>
      </c>
      <c r="G254" s="160">
        <v>25471.1</v>
      </c>
      <c r="H254" s="87">
        <f t="shared" si="9"/>
        <v>-8.6636023616685209E-3</v>
      </c>
      <c r="J254" t="s">
        <v>121</v>
      </c>
      <c r="K254">
        <v>0.17423056771237627</v>
      </c>
    </row>
    <row r="255" spans="2:11">
      <c r="B255" s="165">
        <v>46068</v>
      </c>
      <c r="C255" s="65">
        <v>191.25</v>
      </c>
      <c r="D255" s="87">
        <f t="shared" si="8"/>
        <v>3.0441810344827624E-2</v>
      </c>
      <c r="E255" s="53"/>
      <c r="F255" s="159">
        <v>46068</v>
      </c>
      <c r="G255" s="160">
        <v>25571.25</v>
      </c>
      <c r="H255" s="87">
        <f t="shared" si="9"/>
        <v>3.9319071418195684E-3</v>
      </c>
      <c r="J255" t="s">
        <v>122</v>
      </c>
      <c r="K255">
        <v>3.0356290725376937E-2</v>
      </c>
    </row>
    <row r="256" spans="2:11">
      <c r="B256" s="165">
        <v>46075</v>
      </c>
      <c r="C256" s="65">
        <v>196.65</v>
      </c>
      <c r="D256" s="87">
        <f t="shared" si="8"/>
        <v>2.8235294117647136E-2</v>
      </c>
      <c r="E256" s="53"/>
      <c r="F256" s="159">
        <v>46075</v>
      </c>
      <c r="G256" s="160">
        <v>25178.65</v>
      </c>
      <c r="H256" s="87">
        <f t="shared" si="9"/>
        <v>-1.5353179840641329E-2</v>
      </c>
      <c r="J256" t="s">
        <v>123</v>
      </c>
      <c r="K256">
        <v>1.0567643597323406E-2</v>
      </c>
    </row>
    <row r="257" spans="2:18">
      <c r="B257" s="165">
        <v>46082</v>
      </c>
      <c r="C257" s="65">
        <v>206.55</v>
      </c>
      <c r="D257" s="87">
        <f t="shared" si="8"/>
        <v>5.034324942791768E-2</v>
      </c>
      <c r="E257" s="53"/>
      <c r="F257" s="159">
        <v>46082</v>
      </c>
      <c r="G257" s="160">
        <v>24450.45</v>
      </c>
      <c r="H257" s="87">
        <f t="shared" si="9"/>
        <v>-2.892132818876314E-2</v>
      </c>
      <c r="J257" t="s">
        <v>124</v>
      </c>
      <c r="K257">
        <v>5.6251329937533505E-2</v>
      </c>
    </row>
    <row r="258" spans="2:18" ht="15" thickBot="1">
      <c r="B258" s="165">
        <v>46089</v>
      </c>
      <c r="C258" s="65">
        <v>178.14</v>
      </c>
      <c r="D258" s="87">
        <f t="shared" si="8"/>
        <v>-0.1375453885257808</v>
      </c>
      <c r="E258" s="53"/>
      <c r="F258" s="159">
        <v>46089</v>
      </c>
      <c r="G258" s="160">
        <v>23151.1</v>
      </c>
      <c r="H258" s="87">
        <f t="shared" si="9"/>
        <v>-5.3142171207482991E-2</v>
      </c>
      <c r="J258" s="68" t="s">
        <v>125</v>
      </c>
      <c r="K258" s="68">
        <v>51</v>
      </c>
    </row>
    <row r="259" spans="2:18">
      <c r="B259" s="165">
        <v>46096</v>
      </c>
      <c r="C259" s="65">
        <v>191.19</v>
      </c>
      <c r="D259" s="87">
        <f t="shared" si="8"/>
        <v>7.3256988885146646E-2</v>
      </c>
      <c r="E259" s="53"/>
      <c r="F259" s="159">
        <v>46096</v>
      </c>
      <c r="G259" s="160">
        <v>23114.5</v>
      </c>
      <c r="H259" s="87">
        <f t="shared" si="9"/>
        <v>-1.5809184012853805E-3</v>
      </c>
    </row>
    <row r="260" spans="2:18" ht="15" thickBot="1">
      <c r="B260" s="165">
        <v>46103</v>
      </c>
      <c r="C260" s="65">
        <v>177.1</v>
      </c>
      <c r="D260" s="87">
        <f t="shared" si="8"/>
        <v>-7.3696323029447175E-2</v>
      </c>
      <c r="E260" s="53"/>
      <c r="F260" s="159">
        <v>46103</v>
      </c>
      <c r="G260" s="160">
        <v>22819.599999999999</v>
      </c>
      <c r="H260" s="87">
        <f t="shared" si="9"/>
        <v>-1.275822535637805E-2</v>
      </c>
      <c r="J260" t="s">
        <v>126</v>
      </c>
    </row>
    <row r="261" spans="2:18">
      <c r="B261" s="165">
        <v>46110</v>
      </c>
      <c r="C261" s="65">
        <v>182.14</v>
      </c>
      <c r="D261" s="87">
        <f t="shared" si="8"/>
        <v>2.8458498023715473E-2</v>
      </c>
      <c r="E261" s="53"/>
      <c r="F261" s="159">
        <v>46110</v>
      </c>
      <c r="G261" s="160">
        <v>22713.1</v>
      </c>
      <c r="H261" s="87">
        <f t="shared" si="9"/>
        <v>-4.6670406142088616E-3</v>
      </c>
      <c r="J261" s="69"/>
      <c r="K261" s="69" t="s">
        <v>130</v>
      </c>
      <c r="L261" s="69" t="s">
        <v>131</v>
      </c>
      <c r="M261" s="69" t="s">
        <v>132</v>
      </c>
      <c r="N261" s="69" t="s">
        <v>133</v>
      </c>
      <c r="O261" s="69" t="s">
        <v>134</v>
      </c>
    </row>
    <row r="262" spans="2:18">
      <c r="B262" s="165">
        <v>46117</v>
      </c>
      <c r="C262" s="65">
        <v>174.62</v>
      </c>
      <c r="D262" s="87">
        <f t="shared" si="8"/>
        <v>-4.1286922147798277E-2</v>
      </c>
      <c r="E262" s="53"/>
      <c r="F262" s="159">
        <v>46117</v>
      </c>
      <c r="G262" s="160">
        <v>24050.6</v>
      </c>
      <c r="H262" s="87">
        <f t="shared" si="9"/>
        <v>5.8886721759689342E-2</v>
      </c>
      <c r="J262" t="s">
        <v>127</v>
      </c>
      <c r="K262">
        <v>1</v>
      </c>
      <c r="L262">
        <v>4.853982306221194E-3</v>
      </c>
      <c r="M262">
        <v>4.853982306221194E-3</v>
      </c>
      <c r="N262">
        <v>1.5340255717806044</v>
      </c>
      <c r="O262">
        <v>0.22141010409841988</v>
      </c>
    </row>
    <row r="263" spans="2:18">
      <c r="B263" s="165">
        <v>46124</v>
      </c>
      <c r="C263" s="65">
        <v>183.13</v>
      </c>
      <c r="D263" s="87">
        <f t="shared" si="8"/>
        <v>4.8734394685602922E-2</v>
      </c>
      <c r="E263" s="53"/>
      <c r="F263" s="159">
        <v>46124</v>
      </c>
      <c r="G263" s="160">
        <v>24353.55</v>
      </c>
      <c r="H263" s="87">
        <f t="shared" si="9"/>
        <v>1.2596359342386565E-2</v>
      </c>
      <c r="J263" t="s">
        <v>128</v>
      </c>
      <c r="K263">
        <v>49</v>
      </c>
      <c r="L263">
        <v>0.15504639386732139</v>
      </c>
      <c r="M263">
        <v>3.164212119741253E-3</v>
      </c>
    </row>
    <row r="264" spans="2:18" ht="15" thickBot="1">
      <c r="B264" s="165">
        <v>46131</v>
      </c>
      <c r="C264" s="65">
        <v>186.38</v>
      </c>
      <c r="D264" s="87">
        <f t="shared" si="8"/>
        <v>1.7746955714519785E-2</v>
      </c>
      <c r="E264" s="53"/>
      <c r="F264" s="159">
        <v>46131</v>
      </c>
      <c r="G264" s="160">
        <v>23897.95</v>
      </c>
      <c r="H264" s="87">
        <f t="shared" si="9"/>
        <v>-1.8707744866764742E-2</v>
      </c>
      <c r="J264" s="68" t="s">
        <v>35</v>
      </c>
      <c r="K264" s="68">
        <v>50</v>
      </c>
      <c r="L264" s="68">
        <v>0.15990037617354258</v>
      </c>
      <c r="M264" s="68"/>
      <c r="N264" s="68"/>
      <c r="O264" s="68"/>
    </row>
    <row r="265" spans="2:18" ht="15" thickBot="1">
      <c r="B265" s="165">
        <v>46138</v>
      </c>
      <c r="C265" s="65">
        <v>167.55</v>
      </c>
      <c r="D265" s="87">
        <f t="shared" si="8"/>
        <v>-0.10103015344994093</v>
      </c>
      <c r="E265" s="53"/>
      <c r="F265" s="159">
        <v>46138</v>
      </c>
      <c r="G265" s="160">
        <v>23997.55</v>
      </c>
      <c r="H265" s="87">
        <f t="shared" si="9"/>
        <v>4.167721499124255E-3</v>
      </c>
    </row>
    <row r="266" spans="2:18">
      <c r="B266" s="165">
        <v>46145</v>
      </c>
      <c r="C266" s="65">
        <v>167.94</v>
      </c>
      <c r="D266" s="87">
        <f t="shared" si="8"/>
        <v>2.3276633840643157E-3</v>
      </c>
      <c r="E266" s="53"/>
      <c r="F266" s="159">
        <v>46145</v>
      </c>
      <c r="G266" s="160">
        <v>24176.15</v>
      </c>
      <c r="H266" s="87">
        <f t="shared" si="9"/>
        <v>7.4424264143633234E-3</v>
      </c>
      <c r="J266" s="69"/>
      <c r="K266" s="69" t="s">
        <v>135</v>
      </c>
      <c r="L266" s="69" t="s">
        <v>124</v>
      </c>
      <c r="M266" s="69" t="s">
        <v>136</v>
      </c>
      <c r="N266" s="69" t="s">
        <v>137</v>
      </c>
      <c r="O266" s="69" t="s">
        <v>138</v>
      </c>
      <c r="P266" s="69" t="s">
        <v>139</v>
      </c>
      <c r="Q266" s="69" t="s">
        <v>140</v>
      </c>
      <c r="R266" s="69" t="s">
        <v>141</v>
      </c>
    </row>
    <row r="267" spans="2:18">
      <c r="B267" s="165">
        <v>46152</v>
      </c>
      <c r="C267" s="65">
        <v>150.32</v>
      </c>
      <c r="D267" s="87">
        <f t="shared" si="8"/>
        <v>-0.10491842324639755</v>
      </c>
      <c r="E267" s="53"/>
      <c r="F267" s="159">
        <v>46152</v>
      </c>
      <c r="G267" s="160">
        <v>23643.5</v>
      </c>
      <c r="H267" s="87">
        <f t="shared" si="9"/>
        <v>-2.2032043977225579E-2</v>
      </c>
      <c r="J267" t="s">
        <v>129</v>
      </c>
      <c r="K267">
        <v>5.0381486035139854E-3</v>
      </c>
      <c r="L267">
        <v>7.9008025646585284E-3</v>
      </c>
      <c r="M267">
        <v>0.63767554780452018</v>
      </c>
      <c r="N267">
        <v>0.52665363415647204</v>
      </c>
      <c r="O267">
        <v>-1.0839108583870976E-2</v>
      </c>
      <c r="P267">
        <v>2.0915405790898945E-2</v>
      </c>
      <c r="Q267">
        <v>-1.0839108583870976E-2</v>
      </c>
      <c r="R267">
        <v>2.0915405790898945E-2</v>
      </c>
    </row>
    <row r="268" spans="2:18" ht="15" thickBot="1">
      <c r="B268" s="165">
        <v>46159</v>
      </c>
      <c r="C268" s="65">
        <v>148.97999999999999</v>
      </c>
      <c r="D268" s="87">
        <f t="shared" si="8"/>
        <v>-8.9143161255987868E-3</v>
      </c>
      <c r="E268" s="53"/>
      <c r="F268" s="159">
        <v>46159</v>
      </c>
      <c r="G268" s="160">
        <v>23719.3</v>
      </c>
      <c r="H268" s="87">
        <f t="shared" si="9"/>
        <v>3.2059551250871454E-3</v>
      </c>
      <c r="J268" s="68" t="s">
        <v>272</v>
      </c>
      <c r="K268" s="68">
        <v>0.58931119549100319</v>
      </c>
      <c r="L268" s="68">
        <v>0.47580433234036024</v>
      </c>
      <c r="M268" s="68">
        <v>1.2385578596822178</v>
      </c>
      <c r="N268" s="68">
        <v>0.22141010409842074</v>
      </c>
      <c r="O268" s="68">
        <v>-0.36685340849899539</v>
      </c>
      <c r="P268" s="68">
        <v>1.5454757994810018</v>
      </c>
      <c r="Q268" s="68">
        <v>-0.36685340849899539</v>
      </c>
      <c r="R268" s="68">
        <v>1.5454757994810018</v>
      </c>
    </row>
    <row r="269" spans="2:18">
      <c r="B269" s="165">
        <v>46166</v>
      </c>
      <c r="C269" s="65">
        <v>144.96</v>
      </c>
      <c r="D269" s="87">
        <f t="shared" si="8"/>
        <v>-2.6983487716471855E-2</v>
      </c>
      <c r="E269" s="53"/>
      <c r="F269" s="159">
        <v>46166</v>
      </c>
      <c r="G269" s="160">
        <v>23547.75</v>
      </c>
      <c r="H269" s="87">
        <f t="shared" si="9"/>
        <v>-7.2325068615008981E-3</v>
      </c>
    </row>
    <row r="270" spans="2:18">
      <c r="B270" s="165">
        <v>46173</v>
      </c>
      <c r="C270" s="65">
        <v>154.9</v>
      </c>
      <c r="D270" s="87">
        <f t="shared" si="8"/>
        <v>6.8570640176600417E-2</v>
      </c>
      <c r="E270" s="53"/>
      <c r="F270" s="159">
        <v>46173</v>
      </c>
      <c r="G270" s="160">
        <v>23366.7</v>
      </c>
      <c r="H270" s="87">
        <f t="shared" si="9"/>
        <v>-7.6886326719113329E-3</v>
      </c>
    </row>
    <row r="271" spans="2:18">
      <c r="B271" s="165">
        <v>46180</v>
      </c>
      <c r="C271" s="65">
        <v>161.01</v>
      </c>
      <c r="D271" s="87">
        <f t="shared" si="8"/>
        <v>3.9444803098773296E-2</v>
      </c>
      <c r="E271" s="53"/>
      <c r="F271" s="159">
        <v>46180</v>
      </c>
      <c r="G271" s="160">
        <v>23622.9</v>
      </c>
      <c r="H271" s="87">
        <f t="shared" si="9"/>
        <v>1.0964321020940027E-2</v>
      </c>
    </row>
    <row r="272" spans="2:18">
      <c r="B272" s="165">
        <v>46187</v>
      </c>
      <c r="C272" s="65">
        <v>154.19</v>
      </c>
      <c r="D272" s="87">
        <f t="shared" si="8"/>
        <v>-4.2357617539283243E-2</v>
      </c>
      <c r="E272" s="53"/>
      <c r="F272" s="159">
        <v>46187</v>
      </c>
      <c r="G272" s="160">
        <v>24013.1</v>
      </c>
      <c r="H272" s="87">
        <f t="shared" si="9"/>
        <v>1.6517870371546062E-2</v>
      </c>
    </row>
    <row r="273" spans="2:8">
      <c r="B273" s="165">
        <v>46194</v>
      </c>
      <c r="C273" s="65">
        <v>153.93</v>
      </c>
      <c r="D273" s="87">
        <f t="shared" si="8"/>
        <v>-1.6862312731045215E-3</v>
      </c>
      <c r="E273" s="53"/>
      <c r="F273" s="159">
        <v>46194</v>
      </c>
      <c r="G273" s="160">
        <v>24056</v>
      </c>
      <c r="H273" s="87">
        <f t="shared" si="9"/>
        <v>1.7865248551833801E-3</v>
      </c>
    </row>
    <row r="274" spans="2:8">
      <c r="B274" s="165">
        <v>46201</v>
      </c>
      <c r="C274" s="65">
        <v>150.19</v>
      </c>
      <c r="D274" s="87">
        <f t="shared" si="8"/>
        <v>-2.4296758266744711E-2</v>
      </c>
      <c r="E274" s="53"/>
      <c r="F274" s="159">
        <v>46201</v>
      </c>
      <c r="G274" s="160">
        <v>24270.85</v>
      </c>
      <c r="H274" s="87">
        <f t="shared" si="9"/>
        <v>8.9312437645492349E-3</v>
      </c>
    </row>
    <row r="275" spans="2:8">
      <c r="B275" s="165">
        <v>46208</v>
      </c>
      <c r="C275" s="65">
        <v>162.49</v>
      </c>
      <c r="D275" s="87">
        <f t="shared" si="8"/>
        <v>8.1896264731340374E-2</v>
      </c>
      <c r="E275" s="53"/>
      <c r="F275" s="159">
        <v>46208</v>
      </c>
      <c r="G275" s="160">
        <v>24206.9</v>
      </c>
      <c r="H275" s="87">
        <f t="shared" si="9"/>
        <v>-2.6348479760699428E-3</v>
      </c>
    </row>
    <row r="276" spans="2:8">
      <c r="B276" s="165">
        <v>46215</v>
      </c>
      <c r="C276" s="65">
        <v>174.49</v>
      </c>
      <c r="D276" s="87">
        <f t="shared" si="8"/>
        <v>7.3850698504523304E-2</v>
      </c>
      <c r="E276" s="53"/>
      <c r="F276" s="159">
        <v>46215</v>
      </c>
      <c r="G276" s="160">
        <v>24334.3</v>
      </c>
      <c r="H276" s="87">
        <f t="shared" si="9"/>
        <v>5.262962213253175E-3</v>
      </c>
    </row>
    <row r="277" spans="2:8">
      <c r="B277" s="165">
        <v>46222</v>
      </c>
      <c r="C277" s="65">
        <v>169.75</v>
      </c>
      <c r="D277" s="87">
        <f t="shared" si="8"/>
        <v>-2.7164880508911748E-2</v>
      </c>
      <c r="E277" s="53"/>
      <c r="F277" s="159">
        <v>46222</v>
      </c>
      <c r="G277" s="160">
        <v>23767.45</v>
      </c>
      <c r="H277" s="87">
        <f t="shared" si="9"/>
        <v>-2.3294280090242925E-2</v>
      </c>
    </row>
    <row r="278" spans="2:8">
      <c r="B278" s="165">
        <v>46229</v>
      </c>
      <c r="C278" s="65">
        <v>169.94</v>
      </c>
      <c r="D278" s="87">
        <f t="shared" si="8"/>
        <v>1.1192930780559163E-3</v>
      </c>
      <c r="E278" s="53"/>
      <c r="F278" s="159">
        <v>46229</v>
      </c>
      <c r="G278" s="160">
        <v>24383.599999999999</v>
      </c>
      <c r="H278" s="87">
        <f t="shared" si="9"/>
        <v>2.5924110495656683E-2</v>
      </c>
    </row>
    <row r="279" spans="2:8">
      <c r="B279" s="165">
        <v>46236</v>
      </c>
      <c r="C279" s="65">
        <v>167.01</v>
      </c>
      <c r="D279" s="87">
        <f t="shared" si="8"/>
        <v>-1.7241379310344862E-2</v>
      </c>
      <c r="E279" s="53"/>
      <c r="F279" s="159">
        <v>46236</v>
      </c>
      <c r="G279" s="160">
        <v>24570.65</v>
      </c>
      <c r="H279" s="87">
        <f t="shared" si="9"/>
        <v>7.6711396184321323E-3</v>
      </c>
    </row>
    <row r="280" spans="2:8">
      <c r="B280" s="165">
        <v>46243</v>
      </c>
      <c r="C280" s="65">
        <v>170.54</v>
      </c>
      <c r="D280" s="87">
        <f t="shared" si="8"/>
        <v>2.1136458894676968E-2</v>
      </c>
      <c r="E280" s="53"/>
      <c r="F280" s="159">
        <v>46243</v>
      </c>
      <c r="G280" s="160">
        <v>24366</v>
      </c>
      <c r="H280" s="87">
        <f t="shared" si="9"/>
        <v>-8.3290429842108882E-3</v>
      </c>
    </row>
    <row r="281" spans="2:8">
      <c r="B281" s="165">
        <v>46250</v>
      </c>
      <c r="C281" s="65">
        <v>176.81</v>
      </c>
      <c r="D281" s="87">
        <f t="shared" si="8"/>
        <v>3.6765568195144871E-2</v>
      </c>
      <c r="E281" s="53"/>
      <c r="F281" s="159">
        <v>46250</v>
      </c>
      <c r="G281" s="160">
        <v>24252</v>
      </c>
      <c r="H281" s="87">
        <f t="shared" si="9"/>
        <v>-4.6786505786752253E-3</v>
      </c>
    </row>
    <row r="282" spans="2:8">
      <c r="B282" s="165">
        <v>46257</v>
      </c>
      <c r="C282" s="65">
        <v>168.53</v>
      </c>
      <c r="D282" s="87">
        <f t="shared" si="8"/>
        <v>-4.6829930433799016E-2</v>
      </c>
      <c r="E282" s="53"/>
      <c r="F282" s="159">
        <v>46257</v>
      </c>
      <c r="G282" s="160">
        <v>24175.65</v>
      </c>
      <c r="H282" s="87">
        <f t="shared" si="9"/>
        <v>-3.1481939633843936E-3</v>
      </c>
    </row>
    <row r="283" spans="2:8">
      <c r="B283" s="165">
        <v>46264</v>
      </c>
      <c r="C283" s="65">
        <v>174.83</v>
      </c>
      <c r="D283" s="87">
        <f t="shared" si="8"/>
        <v>3.7382068474455687E-2</v>
      </c>
      <c r="E283" s="53"/>
      <c r="F283" s="159">
        <v>46264</v>
      </c>
      <c r="G283" s="160">
        <v>23897.7</v>
      </c>
      <c r="H283" s="87">
        <f t="shared" si="9"/>
        <v>-1.1497105558692322E-2</v>
      </c>
    </row>
    <row r="284" spans="2:8">
      <c r="B284" s="165">
        <v>46271</v>
      </c>
      <c r="C284" s="65">
        <v>175.86</v>
      </c>
      <c r="D284" s="87">
        <f t="shared" si="8"/>
        <v>5.8914373963279143E-3</v>
      </c>
      <c r="E284" s="53"/>
      <c r="F284" s="159">
        <v>46271</v>
      </c>
      <c r="G284" s="160">
        <v>23398.1</v>
      </c>
      <c r="H284" s="87">
        <f t="shared" si="9"/>
        <v>-2.0905777543445692E-2</v>
      </c>
    </row>
    <row r="285" spans="2:8">
      <c r="B285" s="165">
        <v>46278</v>
      </c>
      <c r="C285" s="65">
        <v>165.38</v>
      </c>
      <c r="D285" s="87">
        <f t="shared" si="8"/>
        <v>-5.9592857955191758E-2</v>
      </c>
      <c r="E285" s="53"/>
      <c r="F285" s="159">
        <v>46278</v>
      </c>
      <c r="G285" s="160">
        <v>23346.400000000001</v>
      </c>
      <c r="H285" s="87">
        <f t="shared" si="9"/>
        <v>-2.2095811198343807E-3</v>
      </c>
    </row>
    <row r="286" spans="2:8">
      <c r="B286" s="165">
        <v>46285</v>
      </c>
      <c r="C286" s="65">
        <v>164.6</v>
      </c>
      <c r="D286" s="87">
        <f t="shared" si="8"/>
        <v>-4.7164106905308589E-3</v>
      </c>
      <c r="E286" s="53"/>
      <c r="F286" s="159">
        <v>46285</v>
      </c>
      <c r="G286" s="160">
        <v>23140.5</v>
      </c>
      <c r="H286" s="87">
        <f t="shared" si="9"/>
        <v>-8.8193468800329411E-3</v>
      </c>
    </row>
  </sheetData>
  <mergeCells count="20">
    <mergeCell ref="B232:D232"/>
    <mergeCell ref="F232:H232"/>
    <mergeCell ref="J11:K11"/>
    <mergeCell ref="B4:D4"/>
    <mergeCell ref="F4:H4"/>
    <mergeCell ref="B61:D61"/>
    <mergeCell ref="F61:H61"/>
    <mergeCell ref="B118:D118"/>
    <mergeCell ref="F118:H118"/>
    <mergeCell ref="J4:K4"/>
    <mergeCell ref="J68:K68"/>
    <mergeCell ref="J125:K125"/>
    <mergeCell ref="J182:K182"/>
    <mergeCell ref="B175:D175"/>
    <mergeCell ref="F175:H175"/>
    <mergeCell ref="J239:K239"/>
    <mergeCell ref="J232:K232"/>
    <mergeCell ref="J175:K175"/>
    <mergeCell ref="J118:K118"/>
    <mergeCell ref="J61:K6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366C-4277-4BF5-B736-8725FEF7077C}">
  <dimension ref="B3:I29"/>
  <sheetViews>
    <sheetView showGridLines="0" workbookViewId="0">
      <selection activeCell="I9" sqref="I9"/>
    </sheetView>
  </sheetViews>
  <sheetFormatPr defaultRowHeight="14.4"/>
  <cols>
    <col min="1" max="1" width="1.88671875" customWidth="1"/>
    <col min="2" max="2" width="8.88671875" style="77"/>
    <col min="3" max="4" width="8.88671875" style="65"/>
    <col min="9" max="9" width="9.109375" bestFit="1" customWidth="1"/>
  </cols>
  <sheetData>
    <row r="3" spans="2:9">
      <c r="B3" s="177" t="s">
        <v>54</v>
      </c>
      <c r="C3" s="178" t="s">
        <v>305</v>
      </c>
      <c r="D3" s="178" t="s">
        <v>265</v>
      </c>
    </row>
    <row r="4" spans="2:9">
      <c r="B4" s="77">
        <v>2000</v>
      </c>
      <c r="C4" s="65">
        <v>-14.65</v>
      </c>
    </row>
    <row r="5" spans="2:9">
      <c r="B5" s="77">
        <v>2001</v>
      </c>
      <c r="C5" s="65">
        <v>-16.18</v>
      </c>
      <c r="D5" s="87">
        <f t="shared" ref="D5:D29" si="0">(C5/C4-1)/100</f>
        <v>1.0443686006825926E-3</v>
      </c>
      <c r="G5" t="s">
        <v>306</v>
      </c>
      <c r="I5" s="176">
        <f>(AVERAGE(C4:C29))/100</f>
        <v>0.15149230769230765</v>
      </c>
    </row>
    <row r="6" spans="2:9">
      <c r="B6" s="77">
        <v>2002</v>
      </c>
      <c r="C6" s="65">
        <v>3.25</v>
      </c>
      <c r="D6" s="87">
        <f t="shared" si="0"/>
        <v>-1.2008652657601976E-2</v>
      </c>
      <c r="G6" t="s">
        <v>307</v>
      </c>
      <c r="I6" s="53">
        <v>1.2999999999999999E-2</v>
      </c>
    </row>
    <row r="7" spans="2:9">
      <c r="B7" s="77">
        <v>2003</v>
      </c>
      <c r="C7" s="65">
        <v>71.900000000000006</v>
      </c>
      <c r="D7" s="87">
        <f t="shared" si="0"/>
        <v>0.21123076923076925</v>
      </c>
    </row>
    <row r="8" spans="2:9">
      <c r="B8" s="77">
        <v>2004</v>
      </c>
      <c r="C8" s="65">
        <v>10.68</v>
      </c>
      <c r="D8" s="87">
        <f t="shared" si="0"/>
        <v>-8.51460361613352E-3</v>
      </c>
      <c r="G8" s="101" t="s">
        <v>308</v>
      </c>
      <c r="I8" s="53">
        <f>SUM(I5:I6)</f>
        <v>0.16449230769230766</v>
      </c>
    </row>
    <row r="9" spans="2:9">
      <c r="B9" s="77">
        <v>2005</v>
      </c>
      <c r="C9" s="65">
        <v>36.340000000000003</v>
      </c>
      <c r="D9" s="87">
        <f t="shared" si="0"/>
        <v>2.402621722846442E-2</v>
      </c>
    </row>
    <row r="10" spans="2:9">
      <c r="B10" s="77">
        <v>2006</v>
      </c>
      <c r="C10" s="65">
        <v>39.83</v>
      </c>
      <c r="D10" s="87">
        <f t="shared" si="0"/>
        <v>9.6037424325811532E-4</v>
      </c>
    </row>
    <row r="11" spans="2:9">
      <c r="B11" s="77">
        <v>2007</v>
      </c>
      <c r="C11" s="65">
        <v>54.77</v>
      </c>
      <c r="D11" s="87">
        <f t="shared" si="0"/>
        <v>3.7509415013808711E-3</v>
      </c>
    </row>
    <row r="12" spans="2:9">
      <c r="B12" s="77">
        <v>2008</v>
      </c>
      <c r="C12" s="65">
        <v>-51.79</v>
      </c>
      <c r="D12" s="87">
        <f t="shared" si="0"/>
        <v>-1.9455906518166879E-2</v>
      </c>
    </row>
    <row r="13" spans="2:9">
      <c r="B13" s="77">
        <v>2009</v>
      </c>
      <c r="C13" s="65">
        <v>75.760000000000005</v>
      </c>
      <c r="D13" s="87">
        <f t="shared" si="0"/>
        <v>-2.4628306622900178E-2</v>
      </c>
    </row>
    <row r="14" spans="2:9">
      <c r="B14" s="77">
        <v>2010</v>
      </c>
      <c r="C14" s="65">
        <v>17.95</v>
      </c>
      <c r="D14" s="87">
        <f t="shared" si="0"/>
        <v>-7.6306758183738123E-3</v>
      </c>
    </row>
    <row r="15" spans="2:9">
      <c r="B15" s="77">
        <v>2011</v>
      </c>
      <c r="C15" s="65">
        <v>-24.62</v>
      </c>
      <c r="D15" s="87">
        <f t="shared" si="0"/>
        <v>-2.3715877437325908E-2</v>
      </c>
    </row>
    <row r="16" spans="2:9">
      <c r="B16" s="77">
        <v>2012</v>
      </c>
      <c r="C16" s="65">
        <v>27.7</v>
      </c>
      <c r="D16" s="87">
        <f t="shared" si="0"/>
        <v>-2.1251015434606009E-2</v>
      </c>
    </row>
    <row r="17" spans="2:4">
      <c r="B17" s="77">
        <v>2013</v>
      </c>
      <c r="C17" s="65">
        <v>6.76</v>
      </c>
      <c r="D17" s="87">
        <f t="shared" si="0"/>
        <v>-7.5595667870036101E-3</v>
      </c>
    </row>
    <row r="18" spans="2:4">
      <c r="B18" s="77">
        <v>2014</v>
      </c>
      <c r="C18" s="65">
        <v>31.39</v>
      </c>
      <c r="D18" s="87">
        <f t="shared" si="0"/>
        <v>3.6434911242603549E-2</v>
      </c>
    </row>
    <row r="19" spans="2:4">
      <c r="B19" s="77">
        <v>2015</v>
      </c>
      <c r="C19" s="65">
        <v>-4.0599999999999996</v>
      </c>
      <c r="D19" s="87">
        <f t="shared" si="0"/>
        <v>-1.1293405543166612E-2</v>
      </c>
    </row>
    <row r="20" spans="2:4">
      <c r="B20" s="77">
        <v>2016</v>
      </c>
      <c r="C20" s="65">
        <v>3.01</v>
      </c>
      <c r="D20" s="87">
        <f t="shared" si="0"/>
        <v>-1.7413793103448275E-2</v>
      </c>
    </row>
    <row r="21" spans="2:4">
      <c r="B21" s="77">
        <v>2017</v>
      </c>
      <c r="C21" s="65">
        <v>28.65</v>
      </c>
      <c r="D21" s="87">
        <f t="shared" si="0"/>
        <v>8.5182724252491682E-2</v>
      </c>
    </row>
    <row r="22" spans="2:4">
      <c r="B22" s="77">
        <v>2018</v>
      </c>
      <c r="C22" s="65">
        <v>3.15</v>
      </c>
      <c r="D22" s="87">
        <f t="shared" si="0"/>
        <v>-8.9005235602094227E-3</v>
      </c>
    </row>
    <row r="23" spans="2:4">
      <c r="B23" s="77">
        <v>2019</v>
      </c>
      <c r="C23" s="65">
        <v>12.02</v>
      </c>
      <c r="D23" s="87">
        <f t="shared" si="0"/>
        <v>2.8158730158730157E-2</v>
      </c>
    </row>
    <row r="24" spans="2:4">
      <c r="B24" s="77">
        <v>2020</v>
      </c>
      <c r="C24" s="65">
        <v>14.9</v>
      </c>
      <c r="D24" s="87">
        <f t="shared" si="0"/>
        <v>2.3960066555740434E-3</v>
      </c>
    </row>
    <row r="25" spans="2:4">
      <c r="B25" s="77">
        <v>2021</v>
      </c>
      <c r="C25" s="65">
        <v>24.12</v>
      </c>
      <c r="D25" s="87">
        <f t="shared" si="0"/>
        <v>6.1879194630872483E-3</v>
      </c>
    </row>
    <row r="26" spans="2:4">
      <c r="B26" s="77">
        <v>2022</v>
      </c>
      <c r="C26" s="65">
        <v>4.32</v>
      </c>
      <c r="D26" s="87">
        <f t="shared" si="0"/>
        <v>-8.2089552238805968E-3</v>
      </c>
    </row>
    <row r="27" spans="2:4">
      <c r="B27" s="77">
        <v>2023</v>
      </c>
      <c r="C27" s="65">
        <v>19.420000000000002</v>
      </c>
      <c r="D27" s="87">
        <f t="shared" si="0"/>
        <v>3.4953703703703702E-2</v>
      </c>
    </row>
    <row r="28" spans="2:4">
      <c r="B28" s="77">
        <v>2024</v>
      </c>
      <c r="C28" s="65">
        <v>8.75</v>
      </c>
      <c r="D28" s="87">
        <f t="shared" si="0"/>
        <v>-5.4943357363542748E-3</v>
      </c>
    </row>
    <row r="29" spans="2:4">
      <c r="B29" s="77">
        <v>2025</v>
      </c>
      <c r="C29" s="65">
        <v>10.51</v>
      </c>
      <c r="D29" s="87">
        <f t="shared" si="0"/>
        <v>2.0114285714285707E-3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4E5D3-0622-4281-B0B5-EB84E8ACE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Sheet </vt:lpstr>
      <vt:lpstr>HistoricalFS</vt:lpstr>
      <vt:lpstr>Ratio Analysis</vt:lpstr>
      <vt:lpstr>Common Size Statement</vt:lpstr>
      <vt:lpstr>Forcasting</vt:lpstr>
      <vt:lpstr>intrinsic Growth</vt:lpstr>
      <vt:lpstr>RawFs</vt:lpstr>
      <vt:lpstr>DCF&gt;&gt;</vt:lpstr>
      <vt:lpstr>Sectorwise Data</vt:lpstr>
      <vt:lpstr>WACC</vt:lpstr>
      <vt:lpstr>Comps</vt:lpstr>
      <vt:lpstr>Beta regressionRL</vt:lpstr>
      <vt:lpstr>AVG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Jain</dc:creator>
  <cp:lastModifiedBy>Aditya Jain</cp:lastModifiedBy>
  <cp:lastPrinted>2026-09-28T15:02:01Z</cp:lastPrinted>
  <dcterms:created xsi:type="dcterms:W3CDTF">2026-09-10T08:42:44Z</dcterms:created>
  <dcterms:modified xsi:type="dcterms:W3CDTF">2026-09-28T15:32:51Z</dcterms:modified>
</cp:coreProperties>
</file>